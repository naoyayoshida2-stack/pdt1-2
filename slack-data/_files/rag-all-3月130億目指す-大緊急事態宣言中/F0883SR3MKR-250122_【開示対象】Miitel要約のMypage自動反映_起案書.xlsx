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01010642/Downloads/"/>
    </mc:Choice>
  </mc:AlternateContent>
  <xr:revisionPtr revIDLastSave="0" documentId="13_ncr:1_{3C5A6613-3D39-2445-ACD9-F3926C65AB67}" xr6:coauthVersionLast="47" xr6:coauthVersionMax="47" xr10:uidLastSave="{00000000-0000-0000-0000-000000000000}"/>
  <bookViews>
    <workbookView xWindow="2960" yWindow="740" windowWidth="24660" windowHeight="16660" tabRatio="709" xr2:uid="{00000000-000D-0000-FFFF-FFFF00000000}"/>
  </bookViews>
  <sheets>
    <sheet name="起案FMT" sheetId="24" r:id="rId1"/>
    <sheet name="プルダウンリスト" sheetId="11" r:id="rId2"/>
  </sheets>
  <definedNames>
    <definedName name="_xlnm.Print_Area" localSheetId="0">起案FMT!$A$1:$AM$60</definedName>
    <definedName name="案件種別リスト">プルダウンリスト!$B$2:$B$6</definedName>
    <definedName name="会議体リスト">プルダウンリスト!$A$2:$A$11</definedName>
    <definedName name="開示対象リスト">プルダウンリスト!$C$2:$C$8</definedName>
    <definedName name="資料リスト">プルダウンリスト!$D$2:$D$4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" i="24" l="1"/>
  <c r="AU8" i="24"/>
  <c r="AG11" i="24" l="1"/>
</calcChain>
</file>

<file path=xl/sharedStrings.xml><?xml version="1.0" encoding="utf-8"?>
<sst xmlns="http://schemas.openxmlformats.org/spreadsheetml/2006/main" count="136" uniqueCount="115">
  <si>
    <t>プロダクト統括本部ボード会</t>
  </si>
  <si>
    <t>×</t>
    <phoneticPr fontId="1"/>
  </si>
  <si>
    <t>報告案件</t>
    <rPh sb="0" eb="2">
      <t>ホウコク</t>
    </rPh>
    <rPh sb="2" eb="4">
      <t>アンケン</t>
    </rPh>
    <phoneticPr fontId="1"/>
  </si>
  <si>
    <t>件名</t>
    <rPh sb="0" eb="2">
      <t>ケンメイ</t>
    </rPh>
    <phoneticPr fontId="1"/>
  </si>
  <si>
    <t>起案者</t>
    <rPh sb="0" eb="3">
      <t>キアンシャ</t>
    </rPh>
    <phoneticPr fontId="1"/>
  </si>
  <si>
    <r>
      <t>担当VP</t>
    </r>
    <r>
      <rPr>
        <sz val="8"/>
        <rFont val="MS UI Gothic"/>
        <family val="3"/>
        <charset val="128"/>
      </rPr>
      <t>（統括部長/部長）</t>
    </r>
    <rPh sb="0" eb="2">
      <t>タントウ</t>
    </rPh>
    <rPh sb="5" eb="9">
      <t>トウカツ</t>
    </rPh>
    <rPh sb="10" eb="12">
      <t>ブチョウ</t>
    </rPh>
    <phoneticPr fontId="1"/>
  </si>
  <si>
    <t>※【担当VP】原則VP。領域戦略会・領域営業戦略会については案件の性質に応じご調整ください</t>
    <rPh sb="2" eb="4">
      <t>タントウ</t>
    </rPh>
    <rPh sb="7" eb="9">
      <t>ゲンソク</t>
    </rPh>
    <rPh sb="12" eb="17">
      <t>リョウイキセン</t>
    </rPh>
    <rPh sb="18" eb="25">
      <t>リョウイキ</t>
    </rPh>
    <rPh sb="30" eb="32">
      <t>アンケン</t>
    </rPh>
    <rPh sb="33" eb="35">
      <t>セイシツ</t>
    </rPh>
    <rPh sb="36" eb="37">
      <t>オウ</t>
    </rPh>
    <rPh sb="39" eb="41">
      <t>チョウセイ</t>
    </rPh>
    <phoneticPr fontId="1"/>
  </si>
  <si>
    <r>
      <t>発表者</t>
    </r>
    <r>
      <rPr>
        <sz val="8"/>
        <rFont val="MS UI Gothic"/>
        <family val="3"/>
        <charset val="128"/>
      </rPr>
      <t>　※Mgr以上</t>
    </r>
    <rPh sb="0" eb="3">
      <t>ハッピョウシャ</t>
    </rPh>
    <rPh sb="8" eb="10">
      <t>イジョウ</t>
    </rPh>
    <phoneticPr fontId="1"/>
  </si>
  <si>
    <r>
      <t>陪席者</t>
    </r>
    <r>
      <rPr>
        <sz val="8"/>
        <rFont val="MS UI Gothic"/>
        <family val="3"/>
        <charset val="128"/>
      </rPr>
      <t>　※必要Min</t>
    </r>
    <rPh sb="0" eb="2">
      <t>バイセキ</t>
    </rPh>
    <rPh sb="2" eb="3">
      <t>シャ</t>
    </rPh>
    <rPh sb="5" eb="7">
      <t>ヒツヨウ</t>
    </rPh>
    <phoneticPr fontId="1"/>
  </si>
  <si>
    <t>会議
日程</t>
    <rPh sb="0" eb="2">
      <t>カイギ</t>
    </rPh>
    <rPh sb="3" eb="5">
      <t>ニッテイ</t>
    </rPh>
    <phoneticPr fontId="1"/>
  </si>
  <si>
    <r>
      <t>補足資料</t>
    </r>
    <r>
      <rPr>
        <sz val="6"/>
        <rFont val="MS UI Gothic"/>
        <family val="3"/>
        <charset val="128"/>
      </rPr>
      <t xml:space="preserve">
※起案書のみ推奨</t>
    </r>
    <rPh sb="0" eb="2">
      <t>ホソク</t>
    </rPh>
    <rPh sb="2" eb="4">
      <t>シリョウ</t>
    </rPh>
    <rPh sb="6" eb="9">
      <t>キアンショ</t>
    </rPh>
    <rPh sb="11" eb="13">
      <t>スイショウ</t>
    </rPh>
    <phoneticPr fontId="1"/>
  </si>
  <si>
    <t>有無</t>
    <rPh sb="0" eb="2">
      <t>ウム</t>
    </rPh>
    <phoneticPr fontId="1"/>
  </si>
  <si>
    <t>無</t>
    <rPh sb="0" eb="1">
      <t>ム</t>
    </rPh>
    <phoneticPr fontId="2"/>
  </si>
  <si>
    <r>
      <t>事務局退出</t>
    </r>
    <r>
      <rPr>
        <sz val="6"/>
        <rFont val="MS UI Gothic"/>
        <family val="3"/>
        <charset val="128"/>
      </rPr>
      <t xml:space="preserve">
（議員のみ案件）</t>
    </r>
    <rPh sb="0" eb="3">
      <t>ジム</t>
    </rPh>
    <rPh sb="3" eb="5">
      <t>タイシュツ</t>
    </rPh>
    <rPh sb="7" eb="9">
      <t>ギイン</t>
    </rPh>
    <rPh sb="11" eb="13">
      <t>アンケン</t>
    </rPh>
    <phoneticPr fontId="1"/>
  </si>
  <si>
    <t>不要</t>
    <rPh sb="0" eb="2">
      <t>フヨウ</t>
    </rPh>
    <phoneticPr fontId="1"/>
  </si>
  <si>
    <t>起案担当窓口</t>
    <rPh sb="0" eb="2">
      <t>キアン</t>
    </rPh>
    <rPh sb="2" eb="4">
      <t>タントウ</t>
    </rPh>
    <rPh sb="4" eb="6">
      <t>マドグチ</t>
    </rPh>
    <phoneticPr fontId="1"/>
  </si>
  <si>
    <t>※【会議日程】各会議体の開催スケジュールをご確認のうえ入力ください</t>
    <rPh sb="2" eb="4">
      <t>カイギ</t>
    </rPh>
    <rPh sb="4" eb="6">
      <t>ニッテイ</t>
    </rPh>
    <rPh sb="7" eb="8">
      <t>カク</t>
    </rPh>
    <rPh sb="8" eb="11">
      <t>カイギタイ</t>
    </rPh>
    <rPh sb="12" eb="14">
      <t>カイサイ</t>
    </rPh>
    <rPh sb="22" eb="24">
      <t>カクニン</t>
    </rPh>
    <rPh sb="27" eb="29">
      <t>ニュウリョク</t>
    </rPh>
    <phoneticPr fontId="1"/>
  </si>
  <si>
    <t>枚数</t>
    <rPh sb="0" eb="2">
      <t>マイスウ</t>
    </rPh>
    <phoneticPr fontId="1"/>
  </si>
  <si>
    <t>枚</t>
    <rPh sb="0" eb="1">
      <t>マイ</t>
    </rPh>
    <phoneticPr fontId="1"/>
  </si>
  <si>
    <t>FB</t>
    <phoneticPr fontId="1"/>
  </si>
  <si>
    <t>開示対象</t>
    <rPh sb="0" eb="2">
      <t>カイジ</t>
    </rPh>
    <rPh sb="2" eb="4">
      <t>タイショウ</t>
    </rPh>
    <phoneticPr fontId="1"/>
  </si>
  <si>
    <t>FB不要（会議参加者のみ）</t>
    <rPh sb="2" eb="4">
      <t>フヨウ</t>
    </rPh>
    <rPh sb="5" eb="7">
      <t>カイギ</t>
    </rPh>
    <rPh sb="7" eb="10">
      <t>サンカシャ</t>
    </rPh>
    <phoneticPr fontId="1"/>
  </si>
  <si>
    <t>開示資料</t>
    <rPh sb="0" eb="2">
      <t>カイジ</t>
    </rPh>
    <rPh sb="2" eb="4">
      <t>シリョウ</t>
    </rPh>
    <phoneticPr fontId="1"/>
  </si>
  <si>
    <t>全部FB可</t>
    <rPh sb="0" eb="2">
      <t>ゼンブ</t>
    </rPh>
    <rPh sb="4" eb="5">
      <t>カ</t>
    </rPh>
    <phoneticPr fontId="1"/>
  </si>
  <si>
    <t>進め方</t>
    <rPh sb="0" eb="1">
      <t>スス</t>
    </rPh>
    <rPh sb="2" eb="3">
      <t>カタ</t>
    </rPh>
    <phoneticPr fontId="1"/>
  </si>
  <si>
    <t>説明</t>
    <rPh sb="0" eb="2">
      <t>セツメイ</t>
    </rPh>
    <phoneticPr fontId="1"/>
  </si>
  <si>
    <t>分</t>
    <rPh sb="0" eb="1">
      <t>フン</t>
    </rPh>
    <phoneticPr fontId="1"/>
  </si>
  <si>
    <t>※【進め方】希望時間を記入してください。論点確認MTG後に確定時間をご連絡します</t>
    <rPh sb="2" eb="3">
      <t>スス</t>
    </rPh>
    <rPh sb="4" eb="5">
      <t>カタ</t>
    </rPh>
    <rPh sb="6" eb="8">
      <t>キボウ</t>
    </rPh>
    <rPh sb="8" eb="10">
      <t>ジカン</t>
    </rPh>
    <rPh sb="11" eb="13">
      <t>キニュウ</t>
    </rPh>
    <rPh sb="20" eb="22">
      <t>ロンテン</t>
    </rPh>
    <rPh sb="22" eb="24">
      <t>カクニン</t>
    </rPh>
    <rPh sb="27" eb="28">
      <t>ゴ</t>
    </rPh>
    <rPh sb="29" eb="31">
      <t>カクテイ</t>
    </rPh>
    <rPh sb="31" eb="33">
      <t>ジカン</t>
    </rPh>
    <rPh sb="35" eb="37">
      <t>レンラク</t>
    </rPh>
    <phoneticPr fontId="1"/>
  </si>
  <si>
    <t>対象制限理由</t>
    <rPh sb="0" eb="2">
      <t>タイショウ</t>
    </rPh>
    <rPh sb="2" eb="4">
      <t>セイゲン</t>
    </rPh>
    <rPh sb="4" eb="6">
      <t>リユウ</t>
    </rPh>
    <phoneticPr fontId="1"/>
  </si>
  <si>
    <t>質疑</t>
    <rPh sb="0" eb="2">
      <t>シツギ</t>
    </rPh>
    <phoneticPr fontId="1"/>
  </si>
  <si>
    <t>※【FB】メンバーまでFBをしない場合はその理由を簡潔に記載ください</t>
    <rPh sb="17" eb="19">
      <t>バアイ</t>
    </rPh>
    <rPh sb="22" eb="24">
      <t>リユウ</t>
    </rPh>
    <rPh sb="25" eb="27">
      <t>カンケツ</t>
    </rPh>
    <rPh sb="28" eb="30">
      <t>キサイ</t>
    </rPh>
    <phoneticPr fontId="1"/>
  </si>
  <si>
    <t>備考</t>
    <rPh sb="0" eb="2">
      <t>ビコウ</t>
    </rPh>
    <phoneticPr fontId="1"/>
  </si>
  <si>
    <t>合計</t>
    <rPh sb="0" eb="2">
      <t>ゴウケイ</t>
    </rPh>
    <phoneticPr fontId="1"/>
  </si>
  <si>
    <t>背景・
本起案の前提</t>
    <rPh sb="0" eb="2">
      <t>ハイケイ</t>
    </rPh>
    <rPh sb="4" eb="5">
      <t>ホン</t>
    </rPh>
    <rPh sb="5" eb="7">
      <t>キアン</t>
    </rPh>
    <rPh sb="8" eb="10">
      <t>ゼンテイ</t>
    </rPh>
    <phoneticPr fontId="1"/>
  </si>
  <si>
    <t>●</t>
    <phoneticPr fontId="1"/>
  </si>
  <si>
    <t>－</t>
    <phoneticPr fontId="1"/>
  </si>
  <si>
    <r>
      <t>本起案の目的
（</t>
    </r>
    <r>
      <rPr>
        <sz val="8"/>
        <rFont val="MS UI Gothic"/>
        <family val="3"/>
        <charset val="128"/>
      </rPr>
      <t>何を決めたいのか）</t>
    </r>
    <rPh sb="0" eb="1">
      <t>ホン</t>
    </rPh>
    <rPh sb="1" eb="3">
      <t>キアン</t>
    </rPh>
    <rPh sb="4" eb="6">
      <t>モクテキ</t>
    </rPh>
    <rPh sb="8" eb="9">
      <t>ナニ</t>
    </rPh>
    <rPh sb="10" eb="11">
      <t>キ</t>
    </rPh>
    <phoneticPr fontId="1"/>
  </si>
  <si>
    <r>
      <t>論点</t>
    </r>
    <r>
      <rPr>
        <sz val="8"/>
        <rFont val="MS UI Gothic"/>
        <family val="3"/>
        <charset val="128"/>
      </rPr>
      <t xml:space="preserve">
（本日議論頂きたい
ポイント）</t>
    </r>
    <rPh sb="0" eb="2">
      <t>ロンテン</t>
    </rPh>
    <rPh sb="4" eb="6">
      <t>ホンジツ</t>
    </rPh>
    <rPh sb="6" eb="8">
      <t>ギロン</t>
    </rPh>
    <rPh sb="8" eb="9">
      <t>イタダ</t>
    </rPh>
    <phoneticPr fontId="1"/>
  </si>
  <si>
    <t>※【論点】報告の場合は記載必要ありません</t>
    <rPh sb="2" eb="4">
      <t>ロンテン</t>
    </rPh>
    <rPh sb="5" eb="7">
      <t>ホウコク</t>
    </rPh>
    <rPh sb="8" eb="10">
      <t>バアイ</t>
    </rPh>
    <rPh sb="11" eb="13">
      <t>キサイ</t>
    </rPh>
    <rPh sb="13" eb="15">
      <t>ヒツヨウ</t>
    </rPh>
    <phoneticPr fontId="1"/>
  </si>
  <si>
    <t>※【論点】決裁者にとっての論点になっているか、を意識。「それがクリアになるとどうなるのか？」を意識。</t>
    <rPh sb="2" eb="4">
      <t>ロンテン</t>
    </rPh>
    <rPh sb="5" eb="8">
      <t>ケッサイシャ</t>
    </rPh>
    <rPh sb="13" eb="15">
      <t>ロンテン</t>
    </rPh>
    <rPh sb="24" eb="26">
      <t>イシキ</t>
    </rPh>
    <rPh sb="47" eb="49">
      <t>イシキ</t>
    </rPh>
    <phoneticPr fontId="1"/>
  </si>
  <si>
    <t>案件概要</t>
    <rPh sb="0" eb="2">
      <t>アンケン</t>
    </rPh>
    <rPh sb="2" eb="4">
      <t>ガイヨウ</t>
    </rPh>
    <phoneticPr fontId="1"/>
  </si>
  <si>
    <t>※【案件概要】議論の全体像が示されているか？</t>
    <rPh sb="2" eb="4">
      <t>アンケン</t>
    </rPh>
    <rPh sb="4" eb="6">
      <t>ガイヨウ</t>
    </rPh>
    <rPh sb="7" eb="9">
      <t>ギロン</t>
    </rPh>
    <rPh sb="10" eb="13">
      <t>ゼンタイゾウ</t>
    </rPh>
    <rPh sb="14" eb="15">
      <t>シメ</t>
    </rPh>
    <phoneticPr fontId="1"/>
  </si>
  <si>
    <t>＜報告案件＞結果サマリとその評価が分かるように</t>
    <rPh sb="1" eb="3">
      <t>ホウコク</t>
    </rPh>
    <rPh sb="3" eb="4">
      <t>アン</t>
    </rPh>
    <rPh sb="4" eb="5">
      <t>ケン</t>
    </rPh>
    <rPh sb="6" eb="8">
      <t>ケッカ</t>
    </rPh>
    <rPh sb="14" eb="16">
      <t>ヒョウカ</t>
    </rPh>
    <rPh sb="17" eb="18">
      <t>ワ</t>
    </rPh>
    <phoneticPr fontId="1"/>
  </si>
  <si>
    <t>＜決議・審議＞判断材料は整っているか？選択肢とトレードオフが示されているか？</t>
    <rPh sb="1" eb="3">
      <t>ケツギ</t>
    </rPh>
    <rPh sb="4" eb="6">
      <t>シンギ</t>
    </rPh>
    <phoneticPr fontId="1"/>
  </si>
  <si>
    <r>
      <t>今後の進め方</t>
    </r>
    <r>
      <rPr>
        <sz val="8"/>
        <rFont val="MS UI Gothic"/>
        <family val="3"/>
        <charset val="128"/>
      </rPr>
      <t xml:space="preserve">
（現場接続等）</t>
    </r>
    <rPh sb="0" eb="2">
      <t>コンゴ</t>
    </rPh>
    <rPh sb="3" eb="4">
      <t>スス</t>
    </rPh>
    <rPh sb="5" eb="6">
      <t>カタ</t>
    </rPh>
    <rPh sb="8" eb="10">
      <t>ゲンバ</t>
    </rPh>
    <rPh sb="10" eb="12">
      <t>セツゾク</t>
    </rPh>
    <rPh sb="12" eb="13">
      <t>ナド</t>
    </rPh>
    <phoneticPr fontId="1"/>
  </si>
  <si>
    <t>※【今後の進め方】スケジュール、誰と、どうやって、進めるのか</t>
    <rPh sb="2" eb="4">
      <t>コンゴ</t>
    </rPh>
    <rPh sb="5" eb="6">
      <t>スス</t>
    </rPh>
    <rPh sb="7" eb="8">
      <t>カタ</t>
    </rPh>
    <rPh sb="16" eb="17">
      <t>ダレ</t>
    </rPh>
    <rPh sb="25" eb="26">
      <t>スス</t>
    </rPh>
    <phoneticPr fontId="1"/>
  </si>
  <si>
    <t>会議体リスト</t>
    <rPh sb="0" eb="2">
      <t>カイギ</t>
    </rPh>
    <rPh sb="2" eb="3">
      <t>タイ</t>
    </rPh>
    <phoneticPr fontId="1"/>
  </si>
  <si>
    <t>案件種別リスト</t>
    <rPh sb="0" eb="2">
      <t>アンケン</t>
    </rPh>
    <rPh sb="2" eb="4">
      <t>シュベツ</t>
    </rPh>
    <phoneticPr fontId="1"/>
  </si>
  <si>
    <t>開示対象リスト</t>
    <rPh sb="0" eb="2">
      <t>カイジ</t>
    </rPh>
    <rPh sb="2" eb="4">
      <t>タイショウ</t>
    </rPh>
    <phoneticPr fontId="1"/>
  </si>
  <si>
    <t>資料リスト</t>
    <rPh sb="0" eb="2">
      <t>シリョウ</t>
    </rPh>
    <phoneticPr fontId="1"/>
  </si>
  <si>
    <t>プレゼン資料</t>
    <rPh sb="4" eb="6">
      <t>シリョウ</t>
    </rPh>
    <phoneticPr fontId="2"/>
  </si>
  <si>
    <t>陪席退出</t>
    <rPh sb="0" eb="4">
      <t>バイセキタイシュツ</t>
    </rPh>
    <phoneticPr fontId="2"/>
  </si>
  <si>
    <t>セルにリスト名称をつけている</t>
    <rPh sb="7" eb="9">
      <t>メイショウ</t>
    </rPh>
    <phoneticPr fontId="1"/>
  </si>
  <si>
    <t>プロダクト統括本部ボード会</t>
    <phoneticPr fontId="1"/>
  </si>
  <si>
    <t>決議案件</t>
    <rPh sb="0" eb="2">
      <t>ケツギ</t>
    </rPh>
    <rPh sb="2" eb="4">
      <t>アンケン</t>
    </rPh>
    <phoneticPr fontId="1"/>
  </si>
  <si>
    <t>有</t>
    <rPh sb="0" eb="1">
      <t>ア</t>
    </rPh>
    <phoneticPr fontId="2"/>
  </si>
  <si>
    <t>要</t>
    <rPh sb="0" eb="1">
      <t>ヨウ</t>
    </rPh>
    <phoneticPr fontId="1"/>
  </si>
  <si>
    <t>※会議名称など変えた場合は、『数式』タブ→『名前の管理』</t>
    <rPh sb="1" eb="3">
      <t>カイギ</t>
    </rPh>
    <rPh sb="3" eb="5">
      <t>メイショウ</t>
    </rPh>
    <rPh sb="7" eb="8">
      <t>カ</t>
    </rPh>
    <rPh sb="10" eb="12">
      <t>バアイ</t>
    </rPh>
    <rPh sb="15" eb="17">
      <t>スウシキ</t>
    </rPh>
    <rPh sb="22" eb="24">
      <t>ナマエ</t>
    </rPh>
    <rPh sb="25" eb="27">
      <t>カンリ</t>
    </rPh>
    <phoneticPr fontId="1"/>
  </si>
  <si>
    <t>HRボード会</t>
    <rPh sb="5" eb="6">
      <t>カイ</t>
    </rPh>
    <phoneticPr fontId="1"/>
  </si>
  <si>
    <t>審議案件</t>
    <rPh sb="0" eb="2">
      <t>シンギ</t>
    </rPh>
    <rPh sb="2" eb="4">
      <t>アンケン</t>
    </rPh>
    <phoneticPr fontId="1"/>
  </si>
  <si>
    <t>VP以上限</t>
    <rPh sb="2" eb="4">
      <t>イジョウ</t>
    </rPh>
    <rPh sb="4" eb="5">
      <t>ゲン</t>
    </rPh>
    <phoneticPr fontId="1"/>
  </si>
  <si>
    <t>一部FB不可あり</t>
    <rPh sb="0" eb="2">
      <t>イチブ</t>
    </rPh>
    <rPh sb="4" eb="6">
      <t>フカ</t>
    </rPh>
    <phoneticPr fontId="1"/>
  </si>
  <si>
    <t>HR横断領域戦略会</t>
    <rPh sb="2" eb="4">
      <t>オウダン</t>
    </rPh>
    <rPh sb="4" eb="6">
      <t>リョウイキ</t>
    </rPh>
    <rPh sb="6" eb="8">
      <t>センリャク</t>
    </rPh>
    <rPh sb="8" eb="9">
      <t>カイ</t>
    </rPh>
    <phoneticPr fontId="1"/>
  </si>
  <si>
    <t>統括部長以上限</t>
    <rPh sb="0" eb="4">
      <t>トウカツブチョウ</t>
    </rPh>
    <rPh sb="4" eb="6">
      <t>イジョウ</t>
    </rPh>
    <rPh sb="6" eb="7">
      <t>ゲン</t>
    </rPh>
    <phoneticPr fontId="1"/>
  </si>
  <si>
    <t>全部FB不可</t>
    <rPh sb="0" eb="2">
      <t>ゼンブ</t>
    </rPh>
    <rPh sb="4" eb="6">
      <t>フカ</t>
    </rPh>
    <phoneticPr fontId="1"/>
  </si>
  <si>
    <t>【HRエージェント】領域戦略会_戦略・計画</t>
    <rPh sb="10" eb="12">
      <t>リョウイキ</t>
    </rPh>
    <rPh sb="12" eb="14">
      <t>センリャク</t>
    </rPh>
    <rPh sb="14" eb="15">
      <t>カイ</t>
    </rPh>
    <rPh sb="16" eb="18">
      <t>センリャク</t>
    </rPh>
    <rPh sb="19" eb="21">
      <t>ケイカク</t>
    </rPh>
    <phoneticPr fontId="1"/>
  </si>
  <si>
    <t>資料のみ報告案件</t>
    <rPh sb="0" eb="2">
      <t>シリョウ</t>
    </rPh>
    <rPh sb="4" eb="6">
      <t>ホウコク</t>
    </rPh>
    <rPh sb="6" eb="8">
      <t>アンケン</t>
    </rPh>
    <phoneticPr fontId="1"/>
  </si>
  <si>
    <t>部長以上限</t>
    <rPh sb="0" eb="2">
      <t>ブチョウ</t>
    </rPh>
    <rPh sb="2" eb="4">
      <t>イジョウ</t>
    </rPh>
    <rPh sb="4" eb="5">
      <t>ゲン</t>
    </rPh>
    <phoneticPr fontId="1"/>
  </si>
  <si>
    <t>【新卒】領域戦略会_戦略・計画</t>
    <rPh sb="1" eb="3">
      <t>シンソツ</t>
    </rPh>
    <rPh sb="4" eb="6">
      <t>リョウイキ</t>
    </rPh>
    <rPh sb="6" eb="8">
      <t>センリャク</t>
    </rPh>
    <rPh sb="8" eb="9">
      <t>カイ</t>
    </rPh>
    <rPh sb="10" eb="12">
      <t>センリャク</t>
    </rPh>
    <rPh sb="13" eb="15">
      <t>ケイカク</t>
    </rPh>
    <phoneticPr fontId="1"/>
  </si>
  <si>
    <t>資料のみ決議案件</t>
    <rPh sb="0" eb="2">
      <t>シリョウ</t>
    </rPh>
    <rPh sb="4" eb="6">
      <t>ケツギ</t>
    </rPh>
    <rPh sb="6" eb="8">
      <t>アンケン</t>
    </rPh>
    <phoneticPr fontId="1"/>
  </si>
  <si>
    <t>Mgr以上限</t>
    <rPh sb="3" eb="5">
      <t>イジョウ</t>
    </rPh>
    <rPh sb="5" eb="6">
      <t>ゲン</t>
    </rPh>
    <phoneticPr fontId="1"/>
  </si>
  <si>
    <t>【HRサービス】領域戦略会_戦略・計画</t>
    <rPh sb="8" eb="13">
      <t>リョ</t>
    </rPh>
    <rPh sb="14" eb="16">
      <t>セン</t>
    </rPh>
    <rPh sb="17" eb="19">
      <t>ケイカク</t>
    </rPh>
    <phoneticPr fontId="2"/>
  </si>
  <si>
    <t>Mgr・ハイプロ以上限</t>
    <rPh sb="8" eb="10">
      <t>イジョウ</t>
    </rPh>
    <rPh sb="10" eb="11">
      <t>ゲン</t>
    </rPh>
    <phoneticPr fontId="1"/>
  </si>
  <si>
    <t>【HRエージェント】領域営業戦略会</t>
    <rPh sb="10" eb="12">
      <t>リョウイキ</t>
    </rPh>
    <phoneticPr fontId="1"/>
  </si>
  <si>
    <t>メンバー迄</t>
    <rPh sb="4" eb="5">
      <t>マデ</t>
    </rPh>
    <phoneticPr fontId="1"/>
  </si>
  <si>
    <t>【新卒】領域営業戦略会</t>
    <rPh sb="1" eb="3">
      <t>シンソツ</t>
    </rPh>
    <rPh sb="4" eb="6">
      <t>リョウイキ</t>
    </rPh>
    <phoneticPr fontId="1"/>
  </si>
  <si>
    <t>【中途】領域営業戦略会</t>
    <rPh sb="1" eb="3">
      <t>チュウト</t>
    </rPh>
    <rPh sb="4" eb="6">
      <t>リョウイキ</t>
    </rPh>
    <rPh sb="6" eb="8">
      <t>エイギョウ</t>
    </rPh>
    <rPh sb="8" eb="10">
      <t>センリャク</t>
    </rPh>
    <rPh sb="10" eb="11">
      <t>カイ</t>
    </rPh>
    <phoneticPr fontId="2"/>
  </si>
  <si>
    <t>本案件に関する要件定義着手承認をいただきたい</t>
    <phoneticPr fontId="1"/>
  </si>
  <si>
    <t>要件定義着手前に論点を洗い出したい</t>
    <phoneticPr fontId="1"/>
  </si>
  <si>
    <t>現在は、要約生成後、CAへ要約内容が送付され、CAが確認、CSへメールで送付というフローをとっているが、</t>
    <rPh sb="0" eb="2">
      <t>ゲンザイ</t>
    </rPh>
    <rPh sb="4" eb="6">
      <t xml:space="preserve">ヨウヤク </t>
    </rPh>
    <rPh sb="6" eb="9">
      <t>セイセイ</t>
    </rPh>
    <rPh sb="13" eb="17">
      <t>ヨウヤク</t>
    </rPh>
    <rPh sb="18" eb="20">
      <t>ソウフ</t>
    </rPh>
    <rPh sb="26" eb="28">
      <t>カクニn</t>
    </rPh>
    <rPh sb="36" eb="38">
      <t>ソウフ</t>
    </rPh>
    <phoneticPr fontId="1"/>
  </si>
  <si>
    <t>施策目的</t>
    <rPh sb="0" eb="2">
      <t>シサク</t>
    </rPh>
    <rPh sb="2" eb="4">
      <t>モクテキ</t>
    </rPh>
    <phoneticPr fontId="1"/>
  </si>
  <si>
    <t>②メールでの送付となっており、面談後にメールを見落としている、メールからのコピペが必要などCX観点でも改善余地がある</t>
    <rPh sb="6" eb="8">
      <t>ソウフ</t>
    </rPh>
    <rPh sb="17" eb="19">
      <t>カンテn</t>
    </rPh>
    <rPh sb="21" eb="23">
      <t>カイゼn</t>
    </rPh>
    <rPh sb="23" eb="25">
      <t>ヨチガ</t>
    </rPh>
    <phoneticPr fontId="1"/>
  </si>
  <si>
    <t>①送付するしないがCAマターとなっており、全てのCSへ要約を届けられていない</t>
    <rPh sb="1" eb="3">
      <t>ソウフ</t>
    </rPh>
    <rPh sb="21" eb="22">
      <t>スベテ</t>
    </rPh>
    <rPh sb="27" eb="29">
      <t>ヨウヤク</t>
    </rPh>
    <rPh sb="30" eb="31">
      <t>トドケ</t>
    </rPh>
    <phoneticPr fontId="1"/>
  </si>
  <si>
    <t>①CA確認をなくし直接送付にすること、②CSへの送付方法・要約反映方法を変更することで、要約送付率、反映率を上げたい</t>
    <rPh sb="29" eb="31">
      <t>ヨウヤク</t>
    </rPh>
    <rPh sb="36" eb="38">
      <t>ヘンコウ</t>
    </rPh>
    <phoneticPr fontId="1"/>
  </si>
  <si>
    <t>施策概要</t>
    <rPh sb="0" eb="2">
      <t>シサク</t>
    </rPh>
    <rPh sb="2" eb="3">
      <t>ガイヨウ</t>
    </rPh>
    <phoneticPr fontId="1"/>
  </si>
  <si>
    <t>①CA確認をなくし直接送付にする</t>
    <phoneticPr fontId="1"/>
  </si>
  <si>
    <t>A：マイページ上に要約を確認するセクションを新設</t>
    <rPh sb="7" eb="8">
      <t>ジョウ</t>
    </rPh>
    <rPh sb="9" eb="11">
      <t>ヨウヤク</t>
    </rPh>
    <rPh sb="12" eb="14">
      <t>カクニn</t>
    </rPh>
    <rPh sb="22" eb="24">
      <t>シンセテゥ</t>
    </rPh>
    <phoneticPr fontId="1"/>
  </si>
  <si>
    <t>経験社歴の基本情報（社名・職種・年収など）のみの場合に加え、職務要約・業務内容が一定の文字数以上レジュメに入力されている場合、</t>
    <rPh sb="0" eb="2">
      <t>ケイケn</t>
    </rPh>
    <rPh sb="2" eb="4">
      <t>sy</t>
    </rPh>
    <rPh sb="5" eb="7">
      <t>キホn</t>
    </rPh>
    <rPh sb="7" eb="9">
      <t>ジョウホウ</t>
    </rPh>
    <rPh sb="10" eb="12">
      <t>sy</t>
    </rPh>
    <rPh sb="13" eb="15">
      <t>ショクセィウ</t>
    </rPh>
    <rPh sb="16" eb="18">
      <t>ネンシュウ</t>
    </rPh>
    <rPh sb="24" eb="26">
      <t>バアイ</t>
    </rPh>
    <rPh sb="27" eb="28">
      <t>クワエ</t>
    </rPh>
    <rPh sb="30" eb="31">
      <t>ショクム</t>
    </rPh>
    <rPh sb="35" eb="39">
      <t>ギョウ</t>
    </rPh>
    <phoneticPr fontId="1"/>
  </si>
  <si>
    <t>B：職務要約、各職歴の業務内容をそれぞれマイページに反映</t>
    <rPh sb="2" eb="6">
      <t>ショクム</t>
    </rPh>
    <rPh sb="7" eb="8">
      <t xml:space="preserve">カク </t>
    </rPh>
    <rPh sb="8" eb="10">
      <t>ショクレキ</t>
    </rPh>
    <rPh sb="11" eb="15">
      <t>ギョウ</t>
    </rPh>
    <rPh sb="26" eb="28">
      <t>ハンエイ</t>
    </rPh>
    <phoneticPr fontId="1"/>
  </si>
  <si>
    <t>C：すでにレジュメに職務要約、業務内容記入されている場合、既存の入力内容と生成された要約内容が比較できる</t>
    <rPh sb="10" eb="14">
      <t>ショクムヨウ</t>
    </rPh>
    <rPh sb="15" eb="19">
      <t>ギョウ</t>
    </rPh>
    <rPh sb="19" eb="21">
      <t>キニュウ</t>
    </rPh>
    <rPh sb="29" eb="31">
      <t>キゾn</t>
    </rPh>
    <rPh sb="32" eb="36">
      <t>ニュウリョク</t>
    </rPh>
    <rPh sb="37" eb="39">
      <t>セイセイ</t>
    </rPh>
    <rPh sb="42" eb="46">
      <t>ヨウヤク</t>
    </rPh>
    <rPh sb="47" eb="49">
      <t>ヒカク</t>
    </rPh>
    <phoneticPr fontId="1"/>
  </si>
  <si>
    <t>D：「反映する」ボタンを押下すると、要約内容がレジュメに反映される</t>
    <rPh sb="3" eb="5">
      <t>ハンエイ</t>
    </rPh>
    <rPh sb="12" eb="14">
      <t>オウカ</t>
    </rPh>
    <rPh sb="18" eb="20">
      <t>ヨウヤク</t>
    </rPh>
    <rPh sb="20" eb="22">
      <t>ナイヨウ</t>
    </rPh>
    <rPh sb="28" eb="30">
      <t>ハンエイ</t>
    </rPh>
    <phoneticPr fontId="1"/>
  </si>
  <si>
    <t>②CSへの要約送付方法・反映方法を変更する</t>
    <rPh sb="5" eb="7">
      <t>ヨウヤク</t>
    </rPh>
    <phoneticPr fontId="1"/>
  </si>
  <si>
    <t>補足</t>
    <rPh sb="0" eb="2">
      <t>ホソク</t>
    </rPh>
    <phoneticPr fontId="1"/>
  </si>
  <si>
    <t>・ASIS：要約生成後、CAが内容を確認・編集し、CSへ送付</t>
    <phoneticPr fontId="1"/>
  </si>
  <si>
    <t>・TOBE：要約生成後、ダイレクトにCSへ送付。CSに送付された内容はCAへもメールにて通知される</t>
    <phoneticPr fontId="1"/>
  </si>
  <si>
    <t>・ASIS：メール送付。メールからコピペし、要約内容をレジュメへ反映</t>
    <phoneticPr fontId="1"/>
  </si>
  <si>
    <t>・TOBE：CSのマイページに反映。「反映する」ボタン押下で要約内容がレジュメに反映される</t>
    <phoneticPr fontId="1"/>
  </si>
  <si>
    <t>生成内容の品質を図るため、事後監視とCS からのFB回収を行う予定</t>
    <rPh sb="0" eb="4">
      <t>セイセイ</t>
    </rPh>
    <rPh sb="5" eb="7">
      <t>ヒンシテゥ</t>
    </rPh>
    <rPh sb="8" eb="9">
      <t>ハカル</t>
    </rPh>
    <rPh sb="13" eb="15">
      <t>ジゴ</t>
    </rPh>
    <rPh sb="15" eb="17">
      <t>カn</t>
    </rPh>
    <rPh sb="26" eb="28">
      <t>カイシュウ</t>
    </rPh>
    <rPh sb="29" eb="30">
      <t>オコナウ</t>
    </rPh>
    <rPh sb="31" eb="33">
      <t>ヨテイ</t>
    </rPh>
    <phoneticPr fontId="1"/>
  </si>
  <si>
    <t>標プロ・生成AI相談会への持ち込みに加え、ロイヤル・CA組織など関係するDiv組織との事前調整を行う</t>
    <phoneticPr fontId="1"/>
  </si>
  <si>
    <t>高橋 浩之</t>
    <rPh sb="0" eb="2">
      <t>タカハシ</t>
    </rPh>
    <rPh sb="3" eb="4">
      <t xml:space="preserve">ヒロ </t>
    </rPh>
    <phoneticPr fontId="1"/>
  </si>
  <si>
    <t>要件定義着手フェーズのため</t>
    <rPh sb="0" eb="4">
      <t>ヨウケn</t>
    </rPh>
    <rPh sb="4" eb="6">
      <t>チャクセィウ</t>
    </rPh>
    <phoneticPr fontId="1"/>
  </si>
  <si>
    <t>松田 郁代奈</t>
    <phoneticPr fontId="1"/>
  </si>
  <si>
    <t>Placementプロデザ部　Placementプロデザ2G</t>
    <rPh sb="13" eb="14">
      <t>ブ</t>
    </rPh>
    <phoneticPr fontId="1"/>
  </si>
  <si>
    <t>施策背景</t>
    <rPh sb="0" eb="2">
      <t>シサク</t>
    </rPh>
    <rPh sb="2" eb="4">
      <t>ハイケイ</t>
    </rPh>
    <phoneticPr fontId="1"/>
  </si>
  <si>
    <t>CAとの面談では、社歴や経験業務の確認を行っている。面談における職務内容・業務内容に関する会話をMiiTelにて</t>
    <rPh sb="4" eb="6">
      <t>メンダn</t>
    </rPh>
    <rPh sb="9" eb="11">
      <t>シャレキ</t>
    </rPh>
    <rPh sb="12" eb="16">
      <t>ケイケn</t>
    </rPh>
    <rPh sb="17" eb="19">
      <t>カクニn</t>
    </rPh>
    <rPh sb="20" eb="21">
      <t>オコナッテ</t>
    </rPh>
    <phoneticPr fontId="1"/>
  </si>
  <si>
    <t>MiiTel要約のMypage自動反映</t>
    <rPh sb="0" eb="2">
      <t>アンケン</t>
    </rPh>
    <rPh sb="2" eb="3">
      <t>メイ</t>
    </rPh>
    <phoneticPr fontId="1"/>
  </si>
  <si>
    <t>面談-応募UU率は328.9%、応募-書類合格UU率は241.5%である</t>
    <phoneticPr fontId="1"/>
  </si>
  <si>
    <t>ロギング・要約・CS送付することで、レジュメの職務要約・業務内容の入力率を上げ、決定率に繋げる施策を実施している</t>
    <phoneticPr fontId="1"/>
  </si>
  <si>
    <t>松田 郁代奈</t>
    <rPh sb="0" eb="6">
      <t>マツダ</t>
    </rPh>
    <phoneticPr fontId="1"/>
  </si>
  <si>
    <t>森山 真幸</t>
    <phoneticPr fontId="1"/>
  </si>
  <si>
    <t>●</t>
  </si>
  <si>
    <t>現在は、要約生成後、要約内容がCAへ送付され、CAが確認・CSへメールで送付というフローをとっている</t>
    <phoneticPr fontId="1"/>
  </si>
  <si>
    <t>要約を送付した場合、レジュメ入力率や面談決定率に効果があることが見えているが、CA手作業のため送付されない割合が高い</t>
    <rPh sb="0" eb="2">
      <t>ヨウヤク</t>
    </rPh>
    <rPh sb="7" eb="9">
      <t>バアイ</t>
    </rPh>
    <rPh sb="14" eb="17">
      <t>ニュウリョク</t>
    </rPh>
    <rPh sb="18" eb="20">
      <t>メンダn</t>
    </rPh>
    <rPh sb="20" eb="23">
      <t>ケッテイ</t>
    </rPh>
    <rPh sb="24" eb="26">
      <t>コウカ</t>
    </rPh>
    <rPh sb="32" eb="33">
      <t>ミエテ</t>
    </rPh>
    <rPh sb="41" eb="44">
      <t>テサギョウ</t>
    </rPh>
    <rPh sb="47" eb="49">
      <t>ソウフ</t>
    </rPh>
    <rPh sb="53" eb="55">
      <t>ワリアイ</t>
    </rPh>
    <rPh sb="56" eb="57">
      <t>タカイ</t>
    </rPh>
    <phoneticPr fontId="1"/>
  </si>
  <si>
    <t>レジュメ入力率と面談決定率に相関あることが見えている。レジュメ入力率を上げるため、MiiTelを活用して要約を送付している</t>
    <rPh sb="55" eb="57">
      <t>ソウフ</t>
    </rPh>
    <phoneticPr fontId="1"/>
  </si>
  <si>
    <t>LLMで生成したキャリアアドバイザー（CA）とカスタマー（CS）の面談要約を直接CSへ送付してもよいか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</si>
</sst>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;@"/>
    <numFmt numFmtId="177" formatCode="aaa"/>
    <numFmt numFmtId="178" formatCode="m&quot;月&quot;d&quot;日&quot;\(aaa\)"/>
  </numFmts>
  <fonts count="2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name val="MS UI Gothic"/>
      <family val="3"/>
      <charset val="128"/>
    </font>
    <font>
      <b/>
      <sz val="12"/>
      <name val="MS UI Gothic"/>
      <family val="3"/>
      <charset val="128"/>
    </font>
    <font>
      <sz val="10"/>
      <name val="MS UI Gothic"/>
      <family val="3"/>
      <charset val="128"/>
    </font>
    <font>
      <sz val="10"/>
      <color indexed="8"/>
      <name val="MS UI Gothic"/>
      <family val="3"/>
      <charset val="128"/>
    </font>
    <font>
      <sz val="18"/>
      <name val="MS UI Gothic"/>
      <family val="3"/>
      <charset val="128"/>
    </font>
    <font>
      <sz val="14"/>
      <name val="MS UI Gothic"/>
      <family val="3"/>
      <charset val="128"/>
    </font>
    <font>
      <b/>
      <sz val="18"/>
      <name val="MS UI Gothic"/>
      <family val="3"/>
      <charset val="128"/>
    </font>
    <font>
      <b/>
      <sz val="11"/>
      <name val="MS UI Gothic"/>
      <family val="3"/>
      <charset val="128"/>
    </font>
    <font>
      <b/>
      <sz val="10"/>
      <name val="MS UI Gothic"/>
      <family val="3"/>
      <charset val="128"/>
    </font>
    <font>
      <sz val="11"/>
      <name val="MS UI Gothic"/>
      <family val="3"/>
      <charset val="128"/>
    </font>
    <font>
      <sz val="8"/>
      <name val="MS UI Gothic"/>
      <family val="3"/>
      <charset val="128"/>
    </font>
    <font>
      <sz val="6"/>
      <name val="MS UI Gothic"/>
      <family val="3"/>
      <charset val="128"/>
    </font>
    <font>
      <b/>
      <sz val="11"/>
      <color rgb="FFFF0000"/>
      <name val="MS UI Gothic"/>
      <family val="3"/>
      <charset val="128"/>
    </font>
    <font>
      <sz val="10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u/>
      <sz val="10"/>
      <color rgb="FFFF0000"/>
      <name val="MS UI Gothic"/>
      <family val="3"/>
      <charset val="128"/>
    </font>
    <font>
      <sz val="10"/>
      <color rgb="FFFF0000"/>
      <name val="MS UI Gothic"/>
      <family val="3"/>
      <charset val="128"/>
    </font>
    <font>
      <sz val="12"/>
      <color theme="0" tint="-4.9989318521683403E-2"/>
      <name val="MS UI Gothic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1" tint="0.499984740745262"/>
      <name val="ＭＳ Ｐゴシック"/>
      <family val="3"/>
      <charset val="128"/>
    </font>
    <font>
      <sz val="10"/>
      <color theme="1" tint="0.499984740745262"/>
      <name val="ＭＳ Ｐゴシック"/>
      <family val="3"/>
      <charset val="128"/>
      <scheme val="minor"/>
    </font>
    <font>
      <sz val="10"/>
      <color rgb="FF000000"/>
      <name val="ＭＳ Ｐゴシック"/>
      <family val="2"/>
      <charset val="128"/>
      <scheme val="minor"/>
    </font>
    <font>
      <sz val="10"/>
      <color rgb="FF000000"/>
      <name val="MS UI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dotted">
        <color indexed="64"/>
      </right>
      <top style="medium">
        <color indexed="64"/>
      </top>
      <bottom style="dash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ott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tted">
        <color indexed="64"/>
      </right>
      <top style="dashed">
        <color indexed="64"/>
      </top>
      <bottom/>
      <diagonal/>
    </border>
    <border>
      <left style="dotted">
        <color indexed="64"/>
      </left>
      <right/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dotted">
        <color indexed="64"/>
      </bottom>
      <diagonal/>
    </border>
    <border>
      <left/>
      <right style="medium">
        <color indexed="64"/>
      </right>
      <top style="dash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dotted">
        <color indexed="64"/>
      </right>
      <top style="thin">
        <color indexed="64"/>
      </top>
      <bottom style="dashed">
        <color indexed="64"/>
      </bottom>
      <diagonal/>
    </border>
    <border>
      <left style="dotted">
        <color indexed="64"/>
      </left>
      <right/>
      <top style="thin">
        <color indexed="64"/>
      </top>
      <bottom style="dashed">
        <color indexed="64"/>
      </bottom>
      <diagonal/>
    </border>
  </borders>
  <cellStyleXfs count="2">
    <xf numFmtId="0" fontId="0" fillId="0" borderId="0">
      <alignment vertical="center"/>
    </xf>
    <xf numFmtId="0" fontId="23" fillId="0" borderId="0">
      <alignment vertical="center"/>
    </xf>
  </cellStyleXfs>
  <cellXfs count="18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 shrinkToFi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2" fillId="0" borderId="0" xfId="0" applyFont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6" fillId="0" borderId="3" xfId="0" applyFont="1" applyBorder="1" applyProtection="1">
      <alignment vertical="center"/>
      <protection locked="0"/>
    </xf>
    <xf numFmtId="0" fontId="6" fillId="0" borderId="2" xfId="0" applyFont="1" applyBorder="1" applyProtection="1">
      <alignment vertical="center"/>
      <protection locked="0"/>
    </xf>
    <xf numFmtId="0" fontId="6" fillId="0" borderId="15" xfId="0" applyFont="1" applyBorder="1" applyProtection="1">
      <alignment vertical="center"/>
      <protection locked="0"/>
    </xf>
    <xf numFmtId="0" fontId="6" fillId="4" borderId="16" xfId="0" applyFont="1" applyFill="1" applyBorder="1" applyProtection="1">
      <alignment vertical="center"/>
      <protection locked="0"/>
    </xf>
    <xf numFmtId="0" fontId="6" fillId="4" borderId="17" xfId="0" applyFont="1" applyFill="1" applyBorder="1" applyProtection="1">
      <alignment vertical="center"/>
      <protection locked="0"/>
    </xf>
    <xf numFmtId="0" fontId="6" fillId="0" borderId="18" xfId="0" applyFont="1" applyBorder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5" fillId="0" borderId="4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12" fillId="0" borderId="1" xfId="0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0" xfId="0" applyFont="1" applyProtection="1">
      <alignment vertical="center"/>
      <protection locked="0"/>
    </xf>
    <xf numFmtId="0" fontId="15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176" fontId="19" fillId="0" borderId="0" xfId="0" applyNumberFormat="1" applyFont="1" applyAlignment="1" applyProtection="1">
      <alignment horizontal="center" vertical="center"/>
      <protection locked="0"/>
    </xf>
    <xf numFmtId="177" fontId="19" fillId="0" borderId="0" xfId="0" applyNumberFormat="1" applyFont="1" applyAlignment="1" applyProtection="1">
      <alignment horizontal="center" vertical="center"/>
      <protection locked="0"/>
    </xf>
    <xf numFmtId="0" fontId="6" fillId="0" borderId="1" xfId="0" applyFont="1" applyBorder="1" applyProtection="1">
      <alignment vertical="center"/>
      <protection locked="0"/>
    </xf>
    <xf numFmtId="0" fontId="6" fillId="0" borderId="7" xfId="0" applyFont="1" applyBorder="1" applyProtection="1">
      <alignment vertical="center"/>
      <protection locked="0"/>
    </xf>
    <xf numFmtId="0" fontId="6" fillId="0" borderId="8" xfId="0" applyFont="1" applyBorder="1" applyProtection="1">
      <alignment vertical="center"/>
      <protection locked="0"/>
    </xf>
    <xf numFmtId="0" fontId="6" fillId="0" borderId="9" xfId="0" applyFont="1" applyBorder="1" applyProtection="1">
      <alignment vertical="center"/>
      <protection locked="0"/>
    </xf>
    <xf numFmtId="0" fontId="13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6" fillId="3" borderId="0" xfId="0" applyFont="1" applyFill="1" applyProtection="1">
      <alignment vertical="center"/>
      <protection locked="0"/>
    </xf>
    <xf numFmtId="176" fontId="17" fillId="0" borderId="0" xfId="0" applyNumberFormat="1" applyFont="1" applyAlignment="1" applyProtection="1">
      <alignment horizontal="center" vertical="center"/>
      <protection locked="0"/>
    </xf>
    <xf numFmtId="177" fontId="17" fillId="0" borderId="0" xfId="0" applyNumberFormat="1" applyFont="1" applyAlignment="1" applyProtection="1">
      <alignment horizontal="center" vertical="center"/>
      <protection locked="0"/>
    </xf>
    <xf numFmtId="176" fontId="18" fillId="0" borderId="0" xfId="0" applyNumberFormat="1" applyFont="1" applyAlignment="1" applyProtection="1">
      <alignment horizontal="center" vertical="center"/>
      <protection locked="0"/>
    </xf>
    <xf numFmtId="177" fontId="18" fillId="0" borderId="0" xfId="0" applyNumberFormat="1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Protection="1">
      <alignment vertical="center"/>
      <protection locked="0"/>
    </xf>
    <xf numFmtId="0" fontId="6" fillId="0" borderId="14" xfId="0" applyFont="1" applyBorder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2" fillId="0" borderId="0" xfId="0" applyFont="1" applyProtection="1">
      <alignment vertical="center"/>
      <protection locked="0"/>
    </xf>
    <xf numFmtId="0" fontId="15" fillId="0" borderId="0" xfId="0" applyFont="1" applyProtection="1">
      <alignment vertical="center"/>
      <protection locked="0"/>
    </xf>
    <xf numFmtId="0" fontId="2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56" fontId="25" fillId="0" borderId="0" xfId="0" applyNumberFormat="1" applyFont="1" applyAlignment="1">
      <alignment horizontal="left" vertical="center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78" fontId="13" fillId="4" borderId="10" xfId="0" applyNumberFormat="1" applyFont="1" applyFill="1" applyBorder="1" applyAlignment="1" applyProtection="1">
      <alignment horizontal="center" vertical="center" wrapText="1" shrinkToFit="1"/>
      <protection locked="0"/>
    </xf>
    <xf numFmtId="178" fontId="13" fillId="4" borderId="6" xfId="0" applyNumberFormat="1" applyFont="1" applyFill="1" applyBorder="1" applyAlignment="1" applyProtection="1">
      <alignment horizontal="center" vertical="center" wrapText="1" shrinkToFit="1"/>
      <protection locked="0"/>
    </xf>
    <xf numFmtId="178" fontId="13" fillId="4" borderId="43" xfId="0" applyNumberFormat="1" applyFont="1" applyFill="1" applyBorder="1" applyAlignment="1" applyProtection="1">
      <alignment horizontal="center" vertical="center" wrapText="1" shrinkToFit="1"/>
      <protection locked="0"/>
    </xf>
    <xf numFmtId="178" fontId="13" fillId="4" borderId="7" xfId="0" applyNumberFormat="1" applyFont="1" applyFill="1" applyBorder="1" applyAlignment="1" applyProtection="1">
      <alignment horizontal="center" vertical="center" wrapText="1" shrinkToFi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21" xfId="0" applyFont="1" applyFill="1" applyBorder="1" applyAlignment="1" applyProtection="1">
      <alignment horizontal="center" vertical="center" wrapText="1"/>
      <protection locked="0"/>
    </xf>
    <xf numFmtId="0" fontId="6" fillId="2" borderId="22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23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24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2" borderId="37" xfId="0" applyFont="1" applyFill="1" applyBorder="1" applyAlignment="1" applyProtection="1">
      <alignment horizontal="center" vertical="center" wrapText="1"/>
      <protection locked="0"/>
    </xf>
    <xf numFmtId="0" fontId="6" fillId="2" borderId="29" xfId="0" applyFont="1" applyFill="1" applyBorder="1" applyAlignment="1" applyProtection="1">
      <alignment horizontal="center" vertical="center" wrapText="1"/>
      <protection locked="0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4" borderId="47" xfId="0" applyFont="1" applyFill="1" applyBorder="1" applyAlignment="1" applyProtection="1">
      <alignment horizontal="center" vertical="center"/>
      <protection locked="0"/>
    </xf>
    <xf numFmtId="0" fontId="6" fillId="4" borderId="48" xfId="0" applyFont="1" applyFill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6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4" borderId="7" xfId="0" applyFont="1" applyFill="1" applyBorder="1" applyAlignment="1" applyProtection="1">
      <alignment horizontal="center" vertical="center" wrapText="1"/>
      <protection locked="0"/>
    </xf>
    <xf numFmtId="0" fontId="6" fillId="0" borderId="34" xfId="0" applyFont="1" applyBorder="1" applyAlignment="1" applyProtection="1">
      <alignment horizontal="center" vertical="center" textRotation="255"/>
      <protection locked="0"/>
    </xf>
    <xf numFmtId="0" fontId="6" fillId="0" borderId="35" xfId="0" applyFont="1" applyBorder="1" applyAlignment="1" applyProtection="1">
      <alignment horizontal="center" vertical="center" textRotation="255"/>
      <protection locked="0"/>
    </xf>
    <xf numFmtId="0" fontId="6" fillId="0" borderId="36" xfId="0" applyFont="1" applyBorder="1" applyAlignment="1" applyProtection="1">
      <alignment horizontal="center" vertical="center" textRotation="255"/>
      <protection locked="0"/>
    </xf>
    <xf numFmtId="0" fontId="6" fillId="0" borderId="40" xfId="0" applyFont="1" applyBorder="1" applyAlignment="1" applyProtection="1">
      <alignment horizontal="center" vertical="center" shrinkToFit="1"/>
      <protection locked="0"/>
    </xf>
    <xf numFmtId="0" fontId="6" fillId="0" borderId="41" xfId="0" applyFont="1" applyBorder="1" applyAlignment="1" applyProtection="1">
      <alignment horizontal="center" vertical="center" shrinkToFit="1"/>
      <protection locked="0"/>
    </xf>
    <xf numFmtId="0" fontId="6" fillId="0" borderId="42" xfId="0" applyFont="1" applyBorder="1" applyAlignment="1" applyProtection="1">
      <alignment horizontal="center" vertical="center" shrinkToFit="1"/>
      <protection locked="0"/>
    </xf>
    <xf numFmtId="0" fontId="6" fillId="4" borderId="27" xfId="0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2" borderId="30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6" fillId="0" borderId="32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38" xfId="0" applyFont="1" applyBorder="1" applyAlignment="1" applyProtection="1">
      <alignment horizontal="center" vertical="center" wrapText="1"/>
      <protection locked="0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0" fontId="6" fillId="0" borderId="68" xfId="0" applyFont="1" applyBorder="1" applyAlignment="1" applyProtection="1">
      <alignment horizontal="center" vertical="center" wrapText="1"/>
      <protection locked="0"/>
    </xf>
    <xf numFmtId="0" fontId="6" fillId="0" borderId="69" xfId="0" applyFont="1" applyBorder="1" applyAlignment="1" applyProtection="1">
      <alignment horizontal="center" vertical="center" wrapText="1"/>
      <protection locked="0"/>
    </xf>
    <xf numFmtId="0" fontId="6" fillId="0" borderId="70" xfId="0" applyFont="1" applyBorder="1" applyAlignment="1" applyProtection="1">
      <alignment horizontal="center" vertical="center" wrapText="1"/>
      <protection locked="0"/>
    </xf>
    <xf numFmtId="0" fontId="6" fillId="0" borderId="71" xfId="0" applyFont="1" applyBorder="1" applyAlignment="1" applyProtection="1">
      <alignment horizontal="center" vertical="center"/>
      <protection locked="0"/>
    </xf>
    <xf numFmtId="0" fontId="6" fillId="0" borderId="72" xfId="0" applyFont="1" applyBorder="1" applyAlignment="1" applyProtection="1">
      <alignment horizontal="center" vertical="center"/>
      <protection locked="0"/>
    </xf>
    <xf numFmtId="0" fontId="6" fillId="0" borderId="73" xfId="0" applyFont="1" applyBorder="1" applyAlignment="1" applyProtection="1">
      <alignment horizontal="center" vertical="center"/>
      <protection locked="0"/>
    </xf>
    <xf numFmtId="0" fontId="6" fillId="4" borderId="45" xfId="0" applyFont="1" applyFill="1" applyBorder="1" applyAlignment="1" applyProtection="1">
      <alignment horizontal="center" vertical="center" shrinkToFit="1"/>
      <protection locked="0"/>
    </xf>
    <xf numFmtId="0" fontId="6" fillId="4" borderId="47" xfId="0" applyFont="1" applyFill="1" applyBorder="1" applyAlignment="1" applyProtection="1">
      <alignment horizontal="center" vertical="center" shrinkToFit="1"/>
      <protection locked="0"/>
    </xf>
    <xf numFmtId="0" fontId="6" fillId="4" borderId="46" xfId="0" applyFont="1" applyFill="1" applyBorder="1" applyAlignment="1" applyProtection="1">
      <alignment horizontal="center" vertical="center" shrinkToFit="1"/>
      <protection locked="0"/>
    </xf>
    <xf numFmtId="0" fontId="6" fillId="4" borderId="48" xfId="0" applyFont="1" applyFill="1" applyBorder="1" applyAlignment="1" applyProtection="1">
      <alignment horizontal="center" vertical="center" shrinkToFit="1"/>
      <protection locked="0"/>
    </xf>
    <xf numFmtId="0" fontId="6" fillId="4" borderId="38" xfId="0" applyFont="1" applyFill="1" applyBorder="1" applyAlignment="1" applyProtection="1">
      <alignment horizontal="left" vertical="center"/>
      <protection locked="0"/>
    </xf>
    <xf numFmtId="0" fontId="6" fillId="4" borderId="39" xfId="0" applyFont="1" applyFill="1" applyBorder="1" applyAlignment="1" applyProtection="1">
      <alignment horizontal="left" vertical="center"/>
      <protection locked="0"/>
    </xf>
    <xf numFmtId="0" fontId="6" fillId="0" borderId="74" xfId="0" applyFont="1" applyBorder="1" applyAlignment="1" applyProtection="1">
      <alignment horizontal="center" vertical="center"/>
      <protection locked="0"/>
    </xf>
    <xf numFmtId="0" fontId="6" fillId="0" borderId="75" xfId="0" applyFont="1" applyBorder="1" applyAlignment="1" applyProtection="1">
      <alignment horizontal="center" vertical="center"/>
      <protection locked="0"/>
    </xf>
    <xf numFmtId="0" fontId="6" fillId="4" borderId="76" xfId="0" applyFont="1" applyFill="1" applyBorder="1" applyAlignment="1" applyProtection="1">
      <alignment horizontal="center" vertical="center"/>
      <protection locked="0"/>
    </xf>
    <xf numFmtId="0" fontId="6" fillId="4" borderId="74" xfId="0" applyFont="1" applyFill="1" applyBorder="1" applyAlignment="1" applyProtection="1">
      <alignment horizontal="center" vertical="center"/>
      <protection locked="0"/>
    </xf>
    <xf numFmtId="0" fontId="6" fillId="4" borderId="38" xfId="0" applyFont="1" applyFill="1" applyBorder="1" applyAlignment="1" applyProtection="1">
      <alignment horizontal="center" vertical="center" wrapText="1"/>
      <protection locked="0"/>
    </xf>
    <xf numFmtId="0" fontId="6" fillId="4" borderId="39" xfId="0" applyFont="1" applyFill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 applyProtection="1">
      <alignment horizontal="center" vertical="center" wrapText="1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67" xfId="0" applyFont="1" applyFill="1" applyBorder="1" applyAlignment="1" applyProtection="1">
      <alignment horizontal="center" vertical="center"/>
      <protection locked="0"/>
    </xf>
    <xf numFmtId="0" fontId="6" fillId="4" borderId="43" xfId="0" applyFont="1" applyFill="1" applyBorder="1" applyAlignment="1" applyProtection="1">
      <alignment horizontal="center" vertical="center"/>
      <protection locked="0"/>
    </xf>
    <xf numFmtId="0" fontId="6" fillId="4" borderId="3" xfId="0" applyFont="1" applyFill="1" applyBorder="1" applyAlignment="1" applyProtection="1">
      <alignment horizontal="center" vertical="center"/>
      <protection locked="0"/>
    </xf>
    <xf numFmtId="0" fontId="6" fillId="4" borderId="56" xfId="0" applyFont="1" applyFill="1" applyBorder="1" applyAlignment="1" applyProtection="1">
      <alignment horizontal="center" vertical="center" shrinkToFit="1"/>
      <protection locked="0"/>
    </xf>
    <xf numFmtId="0" fontId="6" fillId="4" borderId="57" xfId="0" applyFont="1" applyFill="1" applyBorder="1" applyAlignment="1" applyProtection="1">
      <alignment horizontal="center" vertical="center" shrinkToFit="1"/>
      <protection locked="0"/>
    </xf>
    <xf numFmtId="0" fontId="6" fillId="4" borderId="58" xfId="0" applyFont="1" applyFill="1" applyBorder="1" applyAlignment="1" applyProtection="1">
      <alignment horizontal="center" vertical="center" shrinkToFit="1"/>
      <protection locked="0"/>
    </xf>
    <xf numFmtId="0" fontId="6" fillId="0" borderId="53" xfId="0" applyFont="1" applyBorder="1" applyAlignment="1" applyProtection="1">
      <alignment horizontal="center" vertical="center"/>
      <protection locked="0"/>
    </xf>
    <xf numFmtId="0" fontId="6" fillId="0" borderId="54" xfId="0" applyFont="1" applyBorder="1" applyAlignment="1" applyProtection="1">
      <alignment horizontal="center" vertical="center"/>
      <protection locked="0"/>
    </xf>
    <xf numFmtId="0" fontId="6" fillId="0" borderId="55" xfId="0" applyFont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1" fillId="4" borderId="60" xfId="0" applyFont="1" applyFill="1" applyBorder="1" applyAlignment="1" applyProtection="1">
      <alignment horizontal="center" vertical="center"/>
      <protection locked="0"/>
    </xf>
    <xf numFmtId="0" fontId="11" fillId="4" borderId="61" xfId="0" applyFont="1" applyFill="1" applyBorder="1" applyAlignment="1" applyProtection="1">
      <alignment horizontal="center" vertical="center"/>
      <protection locked="0"/>
    </xf>
    <xf numFmtId="0" fontId="11" fillId="4" borderId="62" xfId="0" applyFont="1" applyFill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5" fillId="4" borderId="63" xfId="0" applyFont="1" applyFill="1" applyBorder="1" applyAlignment="1" applyProtection="1">
      <alignment horizontal="left" vertical="center" wrapText="1"/>
      <protection locked="0"/>
    </xf>
    <xf numFmtId="0" fontId="5" fillId="4" borderId="4" xfId="0" applyFont="1" applyFill="1" applyBorder="1" applyAlignment="1" applyProtection="1">
      <alignment horizontal="left" vertical="center" wrapText="1"/>
      <protection locked="0"/>
    </xf>
    <xf numFmtId="0" fontId="5" fillId="4" borderId="64" xfId="0" applyFont="1" applyFill="1" applyBorder="1" applyAlignment="1" applyProtection="1">
      <alignment horizontal="left" vertical="center" wrapText="1"/>
      <protection locked="0"/>
    </xf>
    <xf numFmtId="0" fontId="5" fillId="4" borderId="11" xfId="0" applyFont="1" applyFill="1" applyBorder="1" applyAlignment="1" applyProtection="1">
      <alignment horizontal="left" vertical="center" wrapText="1"/>
      <protection locked="0"/>
    </xf>
    <xf numFmtId="0" fontId="5" fillId="4" borderId="0" xfId="0" applyFont="1" applyFill="1" applyAlignment="1" applyProtection="1">
      <alignment horizontal="left" vertical="center" wrapText="1"/>
      <protection locked="0"/>
    </xf>
    <xf numFmtId="0" fontId="5" fillId="4" borderId="65" xfId="0" applyFont="1" applyFill="1" applyBorder="1" applyAlignment="1" applyProtection="1">
      <alignment horizontal="left" vertical="center" wrapText="1"/>
      <protection locked="0"/>
    </xf>
    <xf numFmtId="0" fontId="5" fillId="4" borderId="43" xfId="0" applyFont="1" applyFill="1" applyBorder="1" applyAlignment="1" applyProtection="1">
      <alignment horizontal="left" vertical="center" wrapText="1"/>
      <protection locked="0"/>
    </xf>
    <xf numFmtId="0" fontId="5" fillId="4" borderId="7" xfId="0" applyFont="1" applyFill="1" applyBorder="1" applyAlignment="1" applyProtection="1">
      <alignment horizontal="left" vertical="center" wrapText="1"/>
      <protection locked="0"/>
    </xf>
    <xf numFmtId="0" fontId="5" fillId="4" borderId="3" xfId="0" applyFont="1" applyFill="1" applyBorder="1" applyAlignment="1" applyProtection="1">
      <alignment horizontal="left" vertical="center" wrapText="1"/>
      <protection locked="0"/>
    </xf>
    <xf numFmtId="0" fontId="6" fillId="4" borderId="40" xfId="0" applyFont="1" applyFill="1" applyBorder="1" applyAlignment="1" applyProtection="1">
      <alignment horizontal="center" vertical="center" wrapText="1"/>
      <protection locked="0"/>
    </xf>
    <xf numFmtId="0" fontId="6" fillId="4" borderId="41" xfId="0" applyFont="1" applyFill="1" applyBorder="1" applyAlignment="1" applyProtection="1">
      <alignment horizontal="center" vertical="center" wrapText="1"/>
      <protection locked="0"/>
    </xf>
    <xf numFmtId="0" fontId="6" fillId="4" borderId="66" xfId="0" applyFont="1" applyFill="1" applyBorder="1" applyAlignment="1" applyProtection="1">
      <alignment horizontal="center" vertical="center" wrapText="1"/>
      <protection locked="0"/>
    </xf>
    <xf numFmtId="0" fontId="6" fillId="4" borderId="49" xfId="0" applyFont="1" applyFill="1" applyBorder="1" applyAlignment="1" applyProtection="1">
      <alignment horizontal="center" vertical="center" wrapText="1"/>
      <protection locked="0"/>
    </xf>
    <xf numFmtId="0" fontId="6" fillId="4" borderId="50" xfId="0" applyFont="1" applyFill="1" applyBorder="1" applyAlignment="1" applyProtection="1">
      <alignment horizontal="center" vertical="center" wrapText="1"/>
      <protection locked="0"/>
    </xf>
    <xf numFmtId="0" fontId="6" fillId="4" borderId="52" xfId="0" applyFont="1" applyFill="1" applyBorder="1" applyAlignment="1" applyProtection="1">
      <alignment horizontal="center" vertical="center" wrapText="1"/>
      <protection locked="0"/>
    </xf>
    <xf numFmtId="0" fontId="6" fillId="0" borderId="49" xfId="0" applyFont="1" applyBorder="1" applyAlignment="1" applyProtection="1">
      <alignment horizontal="center" vertical="center"/>
      <protection locked="0"/>
    </xf>
    <xf numFmtId="0" fontId="6" fillId="0" borderId="50" xfId="0" applyFont="1" applyBorder="1" applyAlignment="1" applyProtection="1">
      <alignment horizontal="center" vertical="center"/>
      <protection locked="0"/>
    </xf>
    <xf numFmtId="0" fontId="6" fillId="0" borderId="51" xfId="0" applyFont="1" applyBorder="1" applyAlignment="1" applyProtection="1">
      <alignment horizontal="center" vertical="center"/>
      <protection locked="0"/>
    </xf>
    <xf numFmtId="0" fontId="6" fillId="0" borderId="49" xfId="0" applyFont="1" applyBorder="1" applyAlignment="1" applyProtection="1">
      <alignment horizontal="center" vertical="center" wrapText="1"/>
      <protection locked="0"/>
    </xf>
    <xf numFmtId="0" fontId="6" fillId="0" borderId="50" xfId="0" applyFont="1" applyBorder="1" applyAlignment="1" applyProtection="1">
      <alignment horizontal="center" vertical="center" wrapText="1"/>
      <protection locked="0"/>
    </xf>
    <xf numFmtId="0" fontId="6" fillId="0" borderId="51" xfId="0" applyFont="1" applyBorder="1" applyAlignment="1" applyProtection="1">
      <alignment horizontal="center" vertical="center" wrapText="1"/>
      <protection locked="0"/>
    </xf>
    <xf numFmtId="0" fontId="11" fillId="4" borderId="60" xfId="0" applyFont="1" applyFill="1" applyBorder="1" applyAlignment="1" applyProtection="1">
      <alignment horizontal="center" vertical="center" wrapText="1" shrinkToFit="1"/>
      <protection locked="0"/>
    </xf>
    <xf numFmtId="0" fontId="11" fillId="4" borderId="61" xfId="0" applyFont="1" applyFill="1" applyBorder="1" applyAlignment="1" applyProtection="1">
      <alignment horizontal="center" vertical="center" wrapText="1" shrinkToFit="1"/>
      <protection locked="0"/>
    </xf>
    <xf numFmtId="0" fontId="11" fillId="4" borderId="62" xfId="0" applyFont="1" applyFill="1" applyBorder="1" applyAlignment="1" applyProtection="1">
      <alignment horizontal="center" vertical="center" wrapText="1" shrinkToFit="1"/>
      <protection locked="0"/>
    </xf>
    <xf numFmtId="0" fontId="26" fillId="0" borderId="0" xfId="0" applyFont="1">
      <alignment vertical="center"/>
    </xf>
    <xf numFmtId="0" fontId="27" fillId="0" borderId="0" xfId="0" applyFont="1">
      <alignment vertical="center"/>
    </xf>
  </cellXfs>
  <cellStyles count="2">
    <cellStyle name="標準" xfId="0" builtinId="0"/>
    <cellStyle name="標準 2" xfId="1" xr:uid="{00000000-0005-0000-0000-000001000000}"/>
  </cellStyles>
  <dxfs count="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182880</xdr:colOff>
      <xdr:row>43</xdr:row>
      <xdr:rowOff>39725</xdr:rowOff>
    </xdr:from>
    <xdr:to>
      <xdr:col>23</xdr:col>
      <xdr:colOff>185480</xdr:colOff>
      <xdr:row>53</xdr:row>
      <xdr:rowOff>129905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FDA44C2-B825-4825-C05E-B4BFC2E66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" y="7974685"/>
          <a:ext cx="3670360" cy="2020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wrap="square" anchor="ctr">
        <a:spAutoFit/>
      </a:bodyPr>
      <a:lstStyle>
        <a:defPPr>
          <a:defRPr sz="1050" b="1" u="sng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U114"/>
  <sheetViews>
    <sheetView showGridLines="0" tabSelected="1" topLeftCell="A12" zoomScale="120" zoomScaleNormal="120" zoomScaleSheetLayoutView="90" workbookViewId="0">
      <selection activeCell="E31" sqref="E31"/>
    </sheetView>
  </sheetViews>
  <sheetFormatPr baseColWidth="10" defaultColWidth="13" defaultRowHeight="18" customHeight="1"/>
  <cols>
    <col min="1" max="1" width="1.1640625" style="61" customWidth="1"/>
    <col min="2" max="23" width="2.5" style="61" customWidth="1"/>
    <col min="24" max="24" width="3.1640625" style="61" customWidth="1"/>
    <col min="25" max="40" width="2.5" style="61" customWidth="1"/>
    <col min="41" max="42" width="2.5" style="62" customWidth="1"/>
    <col min="43" max="16384" width="13" style="61"/>
  </cols>
  <sheetData>
    <row r="1" spans="2:47" s="3" customFormat="1" ht="5" customHeight="1" thickBot="1">
      <c r="B1" s="151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O1" s="4"/>
      <c r="AP1" s="4"/>
    </row>
    <row r="2" spans="2:47" s="3" customFormat="1" ht="20.25" customHeight="1" thickBot="1">
      <c r="C2" s="5"/>
      <c r="D2" s="181" t="s">
        <v>0</v>
      </c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3"/>
      <c r="V2" s="6" t="s">
        <v>1</v>
      </c>
      <c r="W2" s="7"/>
      <c r="X2" s="153" t="s">
        <v>2</v>
      </c>
      <c r="Y2" s="154"/>
      <c r="Z2" s="154"/>
      <c r="AA2" s="154"/>
      <c r="AB2" s="154"/>
      <c r="AC2" s="154"/>
      <c r="AD2" s="154"/>
      <c r="AE2" s="155"/>
      <c r="AN2" s="8"/>
      <c r="AO2" s="9"/>
      <c r="AP2" s="10"/>
      <c r="AU2" s="11">
        <f>IF(LEFT(X2,4)="資料のみ",2,1)</f>
        <v>1</v>
      </c>
    </row>
    <row r="3" spans="2:47" s="3" customFormat="1" ht="5" customHeight="1" thickBot="1">
      <c r="AO3" s="4"/>
      <c r="AP3" s="4"/>
    </row>
    <row r="4" spans="2:47" s="3" customFormat="1" ht="15" customHeight="1">
      <c r="B4" s="156" t="s">
        <v>3</v>
      </c>
      <c r="C4" s="157"/>
      <c r="D4" s="160" t="s">
        <v>105</v>
      </c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2"/>
      <c r="Z4" s="102" t="s">
        <v>4</v>
      </c>
      <c r="AA4" s="105" t="s">
        <v>5</v>
      </c>
      <c r="AB4" s="106"/>
      <c r="AC4" s="106"/>
      <c r="AD4" s="106"/>
      <c r="AE4" s="106"/>
      <c r="AF4" s="107"/>
      <c r="AG4" s="169" t="s">
        <v>99</v>
      </c>
      <c r="AH4" s="170"/>
      <c r="AI4" s="170"/>
      <c r="AJ4" s="170"/>
      <c r="AK4" s="170"/>
      <c r="AL4" s="170"/>
      <c r="AM4" s="171"/>
      <c r="AN4" s="4"/>
      <c r="AO4" s="12" t="s">
        <v>6</v>
      </c>
      <c r="AP4" s="4"/>
    </row>
    <row r="5" spans="2:47" s="3" customFormat="1" ht="15" customHeight="1">
      <c r="B5" s="158"/>
      <c r="C5" s="159"/>
      <c r="D5" s="163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5"/>
      <c r="Z5" s="103"/>
      <c r="AA5" s="178" t="s">
        <v>7</v>
      </c>
      <c r="AB5" s="179"/>
      <c r="AC5" s="179"/>
      <c r="AD5" s="179"/>
      <c r="AE5" s="179"/>
      <c r="AF5" s="180"/>
      <c r="AG5" s="172" t="s">
        <v>108</v>
      </c>
      <c r="AH5" s="173"/>
      <c r="AI5" s="173"/>
      <c r="AJ5" s="173"/>
      <c r="AK5" s="173"/>
      <c r="AL5" s="173"/>
      <c r="AM5" s="174"/>
      <c r="AN5" s="4"/>
      <c r="AO5" s="4"/>
      <c r="AP5" s="4"/>
    </row>
    <row r="6" spans="2:47" s="3" customFormat="1" ht="15" customHeight="1">
      <c r="B6" s="115"/>
      <c r="C6" s="100"/>
      <c r="D6" s="166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8"/>
      <c r="Z6" s="103"/>
      <c r="AA6" s="175" t="s">
        <v>8</v>
      </c>
      <c r="AB6" s="176"/>
      <c r="AC6" s="176"/>
      <c r="AD6" s="176"/>
      <c r="AE6" s="176"/>
      <c r="AF6" s="177"/>
      <c r="AG6" s="172" t="s">
        <v>109</v>
      </c>
      <c r="AH6" s="173"/>
      <c r="AI6" s="173"/>
      <c r="AJ6" s="173"/>
      <c r="AK6" s="173"/>
      <c r="AL6" s="173"/>
      <c r="AM6" s="174"/>
      <c r="AN6" s="4"/>
      <c r="AO6" s="4"/>
      <c r="AP6" s="4"/>
    </row>
    <row r="7" spans="2:47" s="3" customFormat="1" ht="15" customHeight="1">
      <c r="B7" s="67" t="s">
        <v>9</v>
      </c>
      <c r="C7" s="68"/>
      <c r="D7" s="71">
        <v>45679</v>
      </c>
      <c r="E7" s="72"/>
      <c r="F7" s="72"/>
      <c r="G7" s="72"/>
      <c r="H7" s="72"/>
      <c r="I7" s="97" t="s">
        <v>10</v>
      </c>
      <c r="J7" s="98"/>
      <c r="K7" s="98"/>
      <c r="L7" s="98"/>
      <c r="M7" s="91" t="s">
        <v>11</v>
      </c>
      <c r="N7" s="92"/>
      <c r="O7" s="93" t="s">
        <v>12</v>
      </c>
      <c r="P7" s="93"/>
      <c r="Q7" s="93"/>
      <c r="R7" s="93"/>
      <c r="S7" s="94"/>
      <c r="T7" s="97" t="s">
        <v>13</v>
      </c>
      <c r="U7" s="98"/>
      <c r="V7" s="98"/>
      <c r="W7" s="98"/>
      <c r="X7" s="139" t="s">
        <v>14</v>
      </c>
      <c r="Y7" s="140"/>
      <c r="Z7" s="103"/>
      <c r="AA7" s="146" t="s">
        <v>15</v>
      </c>
      <c r="AB7" s="147"/>
      <c r="AC7" s="147"/>
      <c r="AD7" s="147"/>
      <c r="AE7" s="147"/>
      <c r="AF7" s="148"/>
      <c r="AG7" s="143" t="s">
        <v>102</v>
      </c>
      <c r="AH7" s="144"/>
      <c r="AI7" s="144"/>
      <c r="AJ7" s="144"/>
      <c r="AK7" s="144"/>
      <c r="AL7" s="144"/>
      <c r="AM7" s="145"/>
      <c r="AN7" s="4"/>
      <c r="AO7" s="12" t="s">
        <v>16</v>
      </c>
      <c r="AP7" s="4"/>
    </row>
    <row r="8" spans="2:47" s="3" customFormat="1" ht="15" customHeight="1">
      <c r="B8" s="69"/>
      <c r="C8" s="70"/>
      <c r="D8" s="73"/>
      <c r="E8" s="74"/>
      <c r="F8" s="74"/>
      <c r="G8" s="74"/>
      <c r="H8" s="74"/>
      <c r="I8" s="99"/>
      <c r="J8" s="100"/>
      <c r="K8" s="100"/>
      <c r="L8" s="100"/>
      <c r="M8" s="95" t="s">
        <v>17</v>
      </c>
      <c r="N8" s="96"/>
      <c r="O8" s="101"/>
      <c r="P8" s="101"/>
      <c r="Q8" s="101"/>
      <c r="R8" s="101"/>
      <c r="S8" s="13" t="s">
        <v>18</v>
      </c>
      <c r="T8" s="99"/>
      <c r="U8" s="100"/>
      <c r="V8" s="100"/>
      <c r="W8" s="100"/>
      <c r="X8" s="141"/>
      <c r="Y8" s="142"/>
      <c r="Z8" s="104"/>
      <c r="AA8" s="149"/>
      <c r="AB8" s="70"/>
      <c r="AC8" s="70"/>
      <c r="AD8" s="70"/>
      <c r="AE8" s="70"/>
      <c r="AF8" s="150"/>
      <c r="AG8" s="136" t="s">
        <v>101</v>
      </c>
      <c r="AH8" s="137"/>
      <c r="AI8" s="137"/>
      <c r="AJ8" s="137"/>
      <c r="AK8" s="137"/>
      <c r="AL8" s="137"/>
      <c r="AM8" s="138"/>
      <c r="AN8" s="4"/>
      <c r="AO8" s="4"/>
      <c r="AP8" s="4"/>
      <c r="AU8" s="11">
        <f>IF(O7="無",2,1)</f>
        <v>2</v>
      </c>
    </row>
    <row r="9" spans="2:47" s="3" customFormat="1" ht="15" customHeight="1">
      <c r="B9" s="67" t="s">
        <v>19</v>
      </c>
      <c r="C9" s="98"/>
      <c r="D9" s="116" t="s">
        <v>20</v>
      </c>
      <c r="E9" s="68"/>
      <c r="F9" s="68"/>
      <c r="G9" s="68"/>
      <c r="H9" s="68"/>
      <c r="I9" s="126" t="s">
        <v>21</v>
      </c>
      <c r="J9" s="127"/>
      <c r="K9" s="127"/>
      <c r="L9" s="127"/>
      <c r="M9" s="127"/>
      <c r="N9" s="127"/>
      <c r="O9" s="128"/>
      <c r="P9" s="119" t="s">
        <v>22</v>
      </c>
      <c r="Q9" s="84"/>
      <c r="R9" s="84"/>
      <c r="S9" s="84"/>
      <c r="T9" s="85"/>
      <c r="U9" s="126" t="s">
        <v>23</v>
      </c>
      <c r="V9" s="127"/>
      <c r="W9" s="127"/>
      <c r="X9" s="127"/>
      <c r="Y9" s="129"/>
      <c r="Z9" s="120" t="s">
        <v>24</v>
      </c>
      <c r="AA9" s="132" t="s">
        <v>25</v>
      </c>
      <c r="AB9" s="132"/>
      <c r="AC9" s="132"/>
      <c r="AD9" s="132"/>
      <c r="AE9" s="132"/>
      <c r="AF9" s="133"/>
      <c r="AG9" s="134">
        <v>5</v>
      </c>
      <c r="AH9" s="135"/>
      <c r="AI9" s="135"/>
      <c r="AJ9" s="135"/>
      <c r="AK9" s="135"/>
      <c r="AL9" s="135"/>
      <c r="AM9" s="14" t="s">
        <v>26</v>
      </c>
      <c r="AO9" s="12" t="s">
        <v>27</v>
      </c>
      <c r="AP9" s="4"/>
    </row>
    <row r="10" spans="2:47" s="3" customFormat="1" ht="15" customHeight="1">
      <c r="B10" s="115"/>
      <c r="C10" s="100"/>
      <c r="D10" s="117" t="s">
        <v>28</v>
      </c>
      <c r="E10" s="118"/>
      <c r="F10" s="118"/>
      <c r="G10" s="118"/>
      <c r="H10" s="118"/>
      <c r="I10" s="130" t="s">
        <v>100</v>
      </c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21"/>
      <c r="AA10" s="84" t="s">
        <v>29</v>
      </c>
      <c r="AB10" s="84"/>
      <c r="AC10" s="84"/>
      <c r="AD10" s="84"/>
      <c r="AE10" s="84"/>
      <c r="AF10" s="85"/>
      <c r="AG10" s="108">
        <v>10</v>
      </c>
      <c r="AH10" s="109"/>
      <c r="AI10" s="109"/>
      <c r="AJ10" s="109"/>
      <c r="AK10" s="109"/>
      <c r="AL10" s="109"/>
      <c r="AM10" s="15" t="s">
        <v>26</v>
      </c>
      <c r="AN10" s="4"/>
      <c r="AO10" s="12" t="s">
        <v>30</v>
      </c>
      <c r="AP10" s="4"/>
    </row>
    <row r="11" spans="2:47" s="3" customFormat="1" ht="13.5" customHeight="1" thickBot="1">
      <c r="B11" s="110" t="s">
        <v>31</v>
      </c>
      <c r="C11" s="111"/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22"/>
      <c r="AA11" s="123" t="s">
        <v>32</v>
      </c>
      <c r="AB11" s="124"/>
      <c r="AC11" s="124"/>
      <c r="AD11" s="124"/>
      <c r="AE11" s="124"/>
      <c r="AF11" s="125"/>
      <c r="AG11" s="123">
        <f>SUM(AG9:AL10)</f>
        <v>15</v>
      </c>
      <c r="AH11" s="124"/>
      <c r="AI11" s="124"/>
      <c r="AJ11" s="124"/>
      <c r="AK11" s="124"/>
      <c r="AL11" s="124"/>
      <c r="AM11" s="18" t="s">
        <v>26</v>
      </c>
      <c r="AN11" s="4"/>
      <c r="AO11" s="4"/>
      <c r="AP11" s="4"/>
    </row>
    <row r="12" spans="2:47" s="3" customFormat="1" ht="5" customHeight="1" thickBot="1">
      <c r="B12" s="19"/>
      <c r="C12" s="19"/>
      <c r="AO12" s="4"/>
      <c r="AP12" s="4"/>
    </row>
    <row r="13" spans="2:47" s="3" customFormat="1" ht="15" customHeight="1">
      <c r="B13" s="112" t="s">
        <v>33</v>
      </c>
      <c r="C13" s="113"/>
      <c r="D13" s="113"/>
      <c r="E13" s="113"/>
      <c r="F13" s="114"/>
      <c r="G13" s="20" t="s">
        <v>34</v>
      </c>
      <c r="H13" s="21" t="s">
        <v>113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2"/>
      <c r="AM13" s="23"/>
      <c r="AN13" s="24"/>
      <c r="AO13" s="25"/>
      <c r="AP13" s="25"/>
    </row>
    <row r="14" spans="2:47" s="3" customFormat="1" ht="15" customHeight="1">
      <c r="B14" s="80"/>
      <c r="C14" s="81"/>
      <c r="D14" s="81"/>
      <c r="E14" s="81"/>
      <c r="F14" s="87"/>
      <c r="G14" s="26" t="s">
        <v>110</v>
      </c>
      <c r="H14" s="28" t="s">
        <v>111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9"/>
      <c r="AN14" s="24"/>
      <c r="AO14" s="25"/>
      <c r="AP14" s="25"/>
    </row>
    <row r="15" spans="2:47" s="3" customFormat="1" ht="15" customHeight="1">
      <c r="B15" s="88"/>
      <c r="C15" s="89"/>
      <c r="D15" s="89"/>
      <c r="E15" s="89"/>
      <c r="F15" s="90"/>
      <c r="G15" s="30"/>
      <c r="H15" s="28" t="s">
        <v>112</v>
      </c>
      <c r="I15" s="28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2"/>
      <c r="AN15" s="24"/>
      <c r="AO15" s="25"/>
      <c r="AP15" s="25"/>
    </row>
    <row r="16" spans="2:47" s="3" customFormat="1" ht="15" customHeight="1">
      <c r="B16" s="80" t="s">
        <v>36</v>
      </c>
      <c r="C16" s="81"/>
      <c r="D16" s="81"/>
      <c r="E16" s="81"/>
      <c r="F16" s="87"/>
      <c r="G16" s="26" t="s">
        <v>34</v>
      </c>
      <c r="H16" s="33" t="s">
        <v>77</v>
      </c>
      <c r="I16" s="33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5"/>
      <c r="AM16" s="34"/>
      <c r="AN16" s="24"/>
      <c r="AO16" s="25"/>
      <c r="AP16" s="25"/>
    </row>
    <row r="17" spans="2:44" s="3" customFormat="1" ht="15" customHeight="1">
      <c r="B17" s="80"/>
      <c r="C17" s="81"/>
      <c r="D17" s="81"/>
      <c r="E17" s="81"/>
      <c r="F17" s="87"/>
      <c r="G17" s="26"/>
      <c r="H17" s="27" t="s">
        <v>35</v>
      </c>
      <c r="I17" s="28" t="s">
        <v>78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5"/>
      <c r="AM17" s="34"/>
      <c r="AN17" s="24"/>
      <c r="AO17" s="25"/>
      <c r="AP17" s="25"/>
    </row>
    <row r="18" spans="2:44" s="36" customFormat="1" ht="15" customHeight="1">
      <c r="B18" s="80"/>
      <c r="C18" s="81"/>
      <c r="D18" s="81"/>
      <c r="E18" s="81"/>
      <c r="F18" s="87"/>
      <c r="G18" s="26"/>
      <c r="H18" s="27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9"/>
      <c r="AN18" s="35"/>
      <c r="AO18" s="28"/>
      <c r="AP18" s="28"/>
    </row>
    <row r="19" spans="2:44" s="36" customFormat="1" ht="15" customHeight="1">
      <c r="B19" s="78" t="s">
        <v>37</v>
      </c>
      <c r="C19" s="79"/>
      <c r="D19" s="79"/>
      <c r="E19" s="79"/>
      <c r="F19" s="86"/>
      <c r="G19" s="37" t="s">
        <v>34</v>
      </c>
      <c r="H19" s="33" t="s">
        <v>114</v>
      </c>
      <c r="I19" s="33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3"/>
      <c r="AM19" s="39"/>
      <c r="AN19" s="35"/>
      <c r="AO19" s="12" t="s">
        <v>38</v>
      </c>
      <c r="AP19" s="28"/>
      <c r="AQ19" s="40"/>
      <c r="AR19" s="41"/>
    </row>
    <row r="20" spans="2:44" s="36" customFormat="1" ht="15" customHeight="1">
      <c r="B20" s="80"/>
      <c r="C20" s="81"/>
      <c r="D20" s="81"/>
      <c r="E20" s="81"/>
      <c r="F20" s="87"/>
      <c r="G20" s="26"/>
      <c r="H20" s="27"/>
      <c r="I20" s="2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28"/>
      <c r="AM20" s="29"/>
      <c r="AN20" s="35"/>
      <c r="AO20" s="12"/>
      <c r="AP20" s="28"/>
      <c r="AQ20" s="40"/>
      <c r="AR20" s="41"/>
    </row>
    <row r="21" spans="2:44" s="36" customFormat="1" ht="15" customHeight="1">
      <c r="B21" s="80"/>
      <c r="C21" s="81"/>
      <c r="D21" s="81"/>
      <c r="E21" s="81"/>
      <c r="F21" s="87"/>
      <c r="G21" s="26"/>
      <c r="H21" s="27"/>
      <c r="I21" s="28"/>
      <c r="J21" s="2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2"/>
      <c r="AN21" s="35"/>
      <c r="AO21" s="12" t="s">
        <v>39</v>
      </c>
      <c r="AP21" s="28"/>
      <c r="AQ21" s="40"/>
      <c r="AR21" s="41"/>
    </row>
    <row r="22" spans="2:44" s="36" customFormat="1" ht="15" customHeight="1">
      <c r="B22" s="88"/>
      <c r="C22" s="89"/>
      <c r="D22" s="89"/>
      <c r="E22" s="89"/>
      <c r="F22" s="90"/>
      <c r="G22" s="30"/>
      <c r="H22" s="27"/>
      <c r="I22" s="28"/>
      <c r="J22" s="31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4"/>
      <c r="AN22" s="35"/>
      <c r="AO22" s="28"/>
      <c r="AP22" s="28"/>
      <c r="AQ22" s="40"/>
      <c r="AR22" s="41"/>
    </row>
    <row r="23" spans="2:44" s="36" customFormat="1" ht="15" customHeight="1">
      <c r="B23" s="75" t="s">
        <v>40</v>
      </c>
      <c r="C23" s="26" t="s">
        <v>34</v>
      </c>
      <c r="D23" s="28" t="s">
        <v>103</v>
      </c>
      <c r="E23" s="28"/>
      <c r="F23" s="28"/>
      <c r="G23" s="2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45"/>
      <c r="AN23" s="35"/>
      <c r="AO23" s="12" t="s">
        <v>41</v>
      </c>
      <c r="AP23" s="28"/>
      <c r="AQ23" s="40"/>
      <c r="AR23" s="41"/>
    </row>
    <row r="24" spans="2:44" s="36" customFormat="1" ht="15" customHeight="1">
      <c r="B24" s="76"/>
      <c r="C24" s="26"/>
      <c r="D24" s="27" t="s">
        <v>35</v>
      </c>
      <c r="E24" s="185" t="s">
        <v>87</v>
      </c>
      <c r="F24" s="28"/>
      <c r="G24" s="28"/>
      <c r="H24" s="4"/>
      <c r="I24" s="2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2"/>
      <c r="AN24" s="46"/>
      <c r="AO24" s="47"/>
      <c r="AP24" s="4"/>
      <c r="AQ24" s="40"/>
      <c r="AR24" s="41"/>
    </row>
    <row r="25" spans="2:44" s="36" customFormat="1" ht="15" customHeight="1">
      <c r="B25" s="76"/>
      <c r="C25" s="26"/>
      <c r="D25" s="28"/>
      <c r="E25" s="28" t="s">
        <v>106</v>
      </c>
      <c r="F25" s="28"/>
      <c r="G25" s="28"/>
      <c r="H25" s="4"/>
      <c r="I25" s="2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2"/>
      <c r="AN25" s="46"/>
      <c r="AO25" s="47"/>
      <c r="AP25" s="12" t="s">
        <v>42</v>
      </c>
      <c r="AQ25" s="40"/>
      <c r="AR25" s="41"/>
    </row>
    <row r="26" spans="2:44" s="36" customFormat="1" ht="15" customHeight="1">
      <c r="B26" s="76"/>
      <c r="C26" s="26"/>
      <c r="D26" s="27" t="s">
        <v>35</v>
      </c>
      <c r="E26" s="184" t="s">
        <v>104</v>
      </c>
      <c r="F26" s="28"/>
      <c r="G26" s="28"/>
      <c r="H26" s="4"/>
      <c r="I26" s="2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2"/>
      <c r="AN26" s="46"/>
      <c r="AO26" s="47"/>
      <c r="AP26" s="12"/>
      <c r="AQ26" s="40"/>
      <c r="AR26" s="41"/>
    </row>
    <row r="27" spans="2:44" s="36" customFormat="1" ht="15" customHeight="1">
      <c r="B27" s="76"/>
      <c r="C27" s="26"/>
      <c r="D27" s="27"/>
      <c r="E27" s="184" t="s">
        <v>107</v>
      </c>
      <c r="F27" s="28"/>
      <c r="G27" s="28"/>
      <c r="H27" s="4"/>
      <c r="I27" s="28"/>
      <c r="J27" s="4"/>
      <c r="K27" s="48"/>
      <c r="L27" s="48"/>
      <c r="M27" s="48"/>
      <c r="N27" s="4"/>
      <c r="O27" s="4"/>
      <c r="P27" s="4"/>
      <c r="Q27" s="4"/>
      <c r="R27" s="4"/>
      <c r="S27" s="4"/>
      <c r="T27" s="4"/>
      <c r="U27" s="48"/>
      <c r="V27" s="48"/>
      <c r="W27" s="48"/>
      <c r="X27" s="4"/>
      <c r="Y27" s="48"/>
      <c r="Z27" s="48"/>
      <c r="AA27" s="48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2"/>
      <c r="AN27" s="46"/>
      <c r="AO27" s="47"/>
      <c r="AP27" s="12" t="s">
        <v>43</v>
      </c>
      <c r="AQ27" s="40"/>
      <c r="AR27" s="41"/>
    </row>
    <row r="28" spans="2:44" s="36" customFormat="1" ht="15" customHeight="1">
      <c r="B28" s="76"/>
      <c r="C28" s="26" t="s">
        <v>34</v>
      </c>
      <c r="D28" s="28" t="s">
        <v>80</v>
      </c>
      <c r="E28" s="28"/>
      <c r="F28" s="28"/>
      <c r="G28" s="28"/>
      <c r="H28" s="4"/>
      <c r="I28" s="28"/>
      <c r="J28" s="4"/>
      <c r="K28" s="48"/>
      <c r="L28" s="48"/>
      <c r="M28" s="48"/>
      <c r="N28" s="4"/>
      <c r="O28" s="4"/>
      <c r="P28" s="4"/>
      <c r="Q28" s="4"/>
      <c r="R28" s="4"/>
      <c r="S28" s="4"/>
      <c r="T28" s="4"/>
      <c r="U28" s="48"/>
      <c r="V28" s="48"/>
      <c r="W28" s="48"/>
      <c r="X28" s="4"/>
      <c r="Y28" s="48"/>
      <c r="Z28" s="48"/>
      <c r="AA28" s="48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2"/>
      <c r="AN28" s="46"/>
      <c r="AO28" s="47"/>
      <c r="AP28" s="47"/>
      <c r="AQ28" s="40"/>
      <c r="AR28" s="41"/>
    </row>
    <row r="29" spans="2:44" s="36" customFormat="1" ht="15" customHeight="1">
      <c r="B29" s="76"/>
      <c r="C29" s="26"/>
      <c r="D29" s="27" t="s">
        <v>35</v>
      </c>
      <c r="E29" s="28" t="s">
        <v>79</v>
      </c>
      <c r="F29" s="28"/>
      <c r="G29" s="28"/>
      <c r="H29" s="4"/>
      <c r="I29" s="28"/>
      <c r="J29" s="4"/>
      <c r="K29" s="48"/>
      <c r="L29" s="48"/>
      <c r="M29" s="48"/>
      <c r="N29" s="4"/>
      <c r="O29" s="4"/>
      <c r="P29" s="4"/>
      <c r="Q29" s="4"/>
      <c r="R29" s="4"/>
      <c r="S29" s="4"/>
      <c r="T29" s="4"/>
      <c r="U29" s="48"/>
      <c r="V29" s="48"/>
      <c r="W29" s="48"/>
      <c r="X29" s="4"/>
      <c r="Y29" s="48"/>
      <c r="Z29" s="48"/>
      <c r="AA29" s="48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2"/>
      <c r="AN29" s="46"/>
      <c r="AO29" s="47"/>
      <c r="AP29" s="47"/>
      <c r="AQ29" s="49"/>
      <c r="AR29" s="50"/>
    </row>
    <row r="30" spans="2:44" s="36" customFormat="1" ht="15" customHeight="1">
      <c r="B30" s="76"/>
      <c r="C30" s="26"/>
      <c r="D30" s="28"/>
      <c r="E30" s="28" t="s">
        <v>82</v>
      </c>
      <c r="F30" s="28"/>
      <c r="G30" s="28"/>
      <c r="H30" s="4"/>
      <c r="I30" s="4"/>
      <c r="J30" s="4"/>
      <c r="K30" s="48"/>
      <c r="L30" s="48"/>
      <c r="M30" s="48"/>
      <c r="N30" s="4"/>
      <c r="O30" s="4"/>
      <c r="P30" s="4"/>
      <c r="Q30" s="4"/>
      <c r="R30" s="4"/>
      <c r="S30" s="4"/>
      <c r="T30" s="4"/>
      <c r="U30" s="48"/>
      <c r="V30" s="48"/>
      <c r="W30" s="48"/>
      <c r="X30" s="4"/>
      <c r="Y30" s="48"/>
      <c r="Z30" s="48"/>
      <c r="AA30" s="48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2"/>
      <c r="AN30" s="46"/>
      <c r="AO30" s="47"/>
      <c r="AP30" s="47"/>
      <c r="AQ30" s="40"/>
      <c r="AR30" s="41"/>
    </row>
    <row r="31" spans="2:44" s="36" customFormat="1" ht="15" customHeight="1">
      <c r="B31" s="76"/>
      <c r="C31" s="26"/>
      <c r="D31" s="28"/>
      <c r="E31" s="28" t="s">
        <v>81</v>
      </c>
      <c r="F31" s="4"/>
      <c r="G31" s="28"/>
      <c r="H31" s="4"/>
      <c r="I31" s="4"/>
      <c r="J31" s="4"/>
      <c r="K31" s="48"/>
      <c r="L31" s="48"/>
      <c r="M31" s="48"/>
      <c r="N31" s="4"/>
      <c r="O31" s="4"/>
      <c r="P31" s="4"/>
      <c r="Q31" s="4"/>
      <c r="R31" s="4"/>
      <c r="S31" s="4"/>
      <c r="T31" s="4"/>
      <c r="U31" s="48"/>
      <c r="V31" s="48"/>
      <c r="W31" s="48"/>
      <c r="X31" s="4"/>
      <c r="Y31" s="48"/>
      <c r="Z31" s="48"/>
      <c r="AA31" s="48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2"/>
      <c r="AN31" s="46"/>
      <c r="AO31" s="47"/>
      <c r="AP31" s="47"/>
      <c r="AQ31" s="51"/>
      <c r="AR31" s="52"/>
    </row>
    <row r="32" spans="2:44" s="36" customFormat="1" ht="15" customHeight="1">
      <c r="B32" s="76"/>
      <c r="C32" s="26"/>
      <c r="D32" s="27" t="s">
        <v>35</v>
      </c>
      <c r="E32" s="28" t="s">
        <v>83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2"/>
      <c r="AN32" s="46"/>
      <c r="AO32" s="47"/>
      <c r="AP32" s="47"/>
      <c r="AQ32" s="51"/>
      <c r="AR32" s="52"/>
    </row>
    <row r="33" spans="2:44" s="36" customFormat="1" ht="15" customHeight="1">
      <c r="B33" s="76"/>
      <c r="C33" s="26" t="s">
        <v>34</v>
      </c>
      <c r="D33" s="4" t="s">
        <v>84</v>
      </c>
      <c r="E33" s="18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2"/>
      <c r="AN33" s="46"/>
      <c r="AO33" s="47"/>
      <c r="AP33" s="47"/>
      <c r="AQ33" s="51"/>
      <c r="AR33" s="52"/>
    </row>
    <row r="34" spans="2:44" s="36" customFormat="1" ht="15" customHeight="1">
      <c r="B34" s="76"/>
      <c r="C34" s="63"/>
      <c r="D34" s="27" t="s">
        <v>35</v>
      </c>
      <c r="E34" s="28" t="s">
        <v>85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2"/>
      <c r="AN34" s="46"/>
      <c r="AO34" s="47"/>
      <c r="AP34" s="47"/>
      <c r="AQ34" s="51"/>
      <c r="AR34" s="52"/>
    </row>
    <row r="35" spans="2:44" s="36" customFormat="1" ht="15" customHeight="1">
      <c r="B35" s="76"/>
      <c r="C35" s="63"/>
      <c r="D35" s="4"/>
      <c r="E35" s="28" t="s">
        <v>93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2"/>
      <c r="AN35" s="46"/>
      <c r="AO35" s="47"/>
      <c r="AP35" s="47"/>
      <c r="AQ35" s="51"/>
      <c r="AR35" s="52"/>
    </row>
    <row r="36" spans="2:44" s="36" customFormat="1" ht="15" customHeight="1">
      <c r="B36" s="76"/>
      <c r="C36" s="63"/>
      <c r="D36" s="4"/>
      <c r="E36" s="4" t="s">
        <v>94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2"/>
      <c r="AN36" s="46"/>
      <c r="AO36" s="47"/>
      <c r="AP36" s="47"/>
      <c r="AQ36" s="51"/>
      <c r="AR36" s="52"/>
    </row>
    <row r="37" spans="2:44" s="36" customFormat="1" ht="15" customHeight="1">
      <c r="B37" s="76"/>
      <c r="C37" s="26"/>
      <c r="D37" s="27" t="s">
        <v>35</v>
      </c>
      <c r="E37" s="28" t="s">
        <v>91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2"/>
      <c r="AN37" s="46"/>
      <c r="AO37" s="47"/>
      <c r="AP37" s="47"/>
      <c r="AQ37" s="51"/>
      <c r="AR37" s="52"/>
    </row>
    <row r="38" spans="2:44" s="36" customFormat="1" ht="15" customHeight="1">
      <c r="B38" s="76"/>
      <c r="C38" s="26"/>
      <c r="D38" s="28"/>
      <c r="E38" s="28" t="s">
        <v>95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2"/>
      <c r="AN38" s="46"/>
      <c r="AO38" s="47"/>
      <c r="AP38" s="47"/>
      <c r="AQ38" s="51"/>
      <c r="AR38" s="52"/>
    </row>
    <row r="39" spans="2:44" s="36" customFormat="1" ht="15" customHeight="1">
      <c r="B39" s="76"/>
      <c r="C39" s="26"/>
      <c r="D39" s="27"/>
      <c r="E39" s="28" t="s">
        <v>96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2"/>
      <c r="AN39" s="46"/>
      <c r="AO39" s="47"/>
      <c r="AP39" s="47"/>
      <c r="AQ39" s="51"/>
      <c r="AR39" s="52"/>
    </row>
    <row r="40" spans="2:44" s="36" customFormat="1" ht="15" customHeight="1">
      <c r="B40" s="76"/>
      <c r="C40" s="63"/>
      <c r="D40" s="28"/>
      <c r="E40" s="184"/>
      <c r="F40" s="4" t="s">
        <v>86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2"/>
      <c r="AN40" s="46"/>
      <c r="AO40" s="47"/>
      <c r="AP40" s="47"/>
      <c r="AQ40" s="51"/>
      <c r="AR40" s="52"/>
    </row>
    <row r="41" spans="2:44" s="36" customFormat="1" ht="15" customHeight="1">
      <c r="B41" s="76"/>
      <c r="C41" s="63"/>
      <c r="D41" s="27"/>
      <c r="E41" s="184"/>
      <c r="F41" s="4" t="s">
        <v>88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2"/>
      <c r="AN41" s="46"/>
      <c r="AO41" s="47"/>
      <c r="AP41" s="47"/>
      <c r="AQ41" s="51"/>
      <c r="AR41" s="52"/>
    </row>
    <row r="42" spans="2:44" s="36" customFormat="1" ht="15" customHeight="1">
      <c r="B42" s="76"/>
      <c r="C42" s="63"/>
      <c r="D42" s="28"/>
      <c r="E42" s="4"/>
      <c r="F42" s="4" t="s">
        <v>89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2"/>
      <c r="AN42" s="46"/>
      <c r="AO42" s="47"/>
      <c r="AP42" s="47"/>
      <c r="AQ42" s="51"/>
      <c r="AR42" s="52"/>
    </row>
    <row r="43" spans="2:44" s="36" customFormat="1" ht="15" customHeight="1">
      <c r="B43" s="76"/>
      <c r="C43" s="63"/>
      <c r="D43" s="4"/>
      <c r="E43" s="4"/>
      <c r="F43" s="4" t="s">
        <v>90</v>
      </c>
      <c r="G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2"/>
      <c r="AN43" s="46"/>
      <c r="AO43" s="47"/>
      <c r="AP43" s="47"/>
      <c r="AQ43" s="51"/>
      <c r="AR43" s="52"/>
    </row>
    <row r="44" spans="2:44" s="36" customFormat="1" ht="15" customHeight="1">
      <c r="B44" s="76"/>
      <c r="F44" s="4"/>
      <c r="G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2"/>
      <c r="AN44" s="46"/>
      <c r="AO44" s="47"/>
      <c r="AP44" s="47"/>
      <c r="AQ44" s="51"/>
      <c r="AR44" s="52"/>
    </row>
    <row r="45" spans="2:44" s="36" customFormat="1" ht="15" customHeight="1">
      <c r="B45" s="76"/>
      <c r="G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2"/>
      <c r="AN45" s="46"/>
      <c r="AO45" s="47"/>
      <c r="AP45" s="47"/>
      <c r="AQ45" s="51"/>
      <c r="AR45" s="52"/>
    </row>
    <row r="46" spans="2:44" s="36" customFormat="1" ht="15" customHeight="1">
      <c r="B46" s="76"/>
      <c r="G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2"/>
      <c r="AN46" s="46"/>
      <c r="AO46" s="47"/>
      <c r="AP46" s="47"/>
      <c r="AQ46" s="51"/>
      <c r="AR46" s="52"/>
    </row>
    <row r="47" spans="2:44" s="36" customFormat="1" ht="15" customHeight="1">
      <c r="B47" s="76"/>
      <c r="C47" s="6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2"/>
      <c r="AN47" s="46"/>
      <c r="AO47" s="47"/>
      <c r="AP47" s="47"/>
    </row>
    <row r="48" spans="2:44" s="36" customFormat="1" ht="15" customHeight="1">
      <c r="B48" s="76"/>
      <c r="C48" s="26"/>
      <c r="D48" s="4"/>
      <c r="E48" s="18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2"/>
      <c r="AN48" s="46"/>
      <c r="AO48" s="47"/>
      <c r="AP48" s="47"/>
      <c r="AQ48" s="51"/>
      <c r="AR48" s="52"/>
    </row>
    <row r="49" spans="2:44" s="36" customFormat="1" ht="15" customHeight="1">
      <c r="B49" s="76"/>
      <c r="C49" s="63"/>
      <c r="D49" s="2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2"/>
      <c r="AN49" s="46"/>
      <c r="AO49" s="47"/>
      <c r="AP49" s="47"/>
      <c r="AQ49" s="51"/>
      <c r="AR49" s="52"/>
    </row>
    <row r="50" spans="2:44" s="36" customFormat="1" ht="15" customHeight="1">
      <c r="B50" s="76"/>
      <c r="C50" s="63"/>
      <c r="D50" s="2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2"/>
      <c r="AN50" s="46"/>
      <c r="AO50" s="47"/>
      <c r="AP50" s="47"/>
      <c r="AQ50" s="51"/>
      <c r="AR50" s="52"/>
    </row>
    <row r="51" spans="2:44" s="36" customFormat="1" ht="15" customHeight="1">
      <c r="B51" s="76"/>
      <c r="C51" s="6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2"/>
      <c r="AN51" s="46"/>
      <c r="AO51" s="47"/>
      <c r="AP51" s="47"/>
      <c r="AQ51" s="51"/>
      <c r="AR51" s="52"/>
    </row>
    <row r="52" spans="2:44" s="36" customFormat="1" ht="15" customHeight="1">
      <c r="B52" s="76"/>
      <c r="C52" s="63"/>
      <c r="D52" s="4"/>
      <c r="E52" s="4"/>
      <c r="F52" s="4"/>
      <c r="G52" s="4"/>
      <c r="H52" s="4"/>
      <c r="I52" s="4"/>
      <c r="J52" s="4"/>
      <c r="K5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2"/>
      <c r="AN52" s="46"/>
      <c r="AO52" s="47"/>
      <c r="AP52" s="47"/>
      <c r="AQ52" s="51"/>
      <c r="AR52" s="52"/>
    </row>
    <row r="53" spans="2:44" s="36" customFormat="1" ht="15" customHeight="1">
      <c r="B53" s="76"/>
      <c r="C53" s="6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2"/>
      <c r="AN53" s="35"/>
      <c r="AO53" s="28"/>
      <c r="AP53" s="28"/>
    </row>
    <row r="54" spans="2:44" s="36" customFormat="1" ht="15" customHeight="1">
      <c r="B54" s="76"/>
      <c r="C54" s="26"/>
      <c r="D54" s="4"/>
      <c r="E54" s="18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2"/>
      <c r="AN54" s="35"/>
      <c r="AO54" s="28"/>
      <c r="AP54" s="28"/>
      <c r="AQ54" s="40"/>
      <c r="AR54" s="41"/>
    </row>
    <row r="55" spans="2:44" s="36" customFormat="1" ht="15" customHeight="1">
      <c r="B55" s="76"/>
      <c r="C55" s="26" t="s">
        <v>34</v>
      </c>
      <c r="D55" s="4" t="s">
        <v>92</v>
      </c>
      <c r="E55" s="18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2"/>
      <c r="AN55" s="35"/>
      <c r="AO55" s="28"/>
      <c r="AP55" s="28"/>
      <c r="AQ55" s="40"/>
      <c r="AR55" s="41"/>
    </row>
    <row r="56" spans="2:44" s="36" customFormat="1" ht="15" customHeight="1">
      <c r="B56" s="77"/>
      <c r="C56" s="63"/>
      <c r="D56" s="27" t="s">
        <v>35</v>
      </c>
      <c r="E56" s="4" t="s">
        <v>97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2"/>
      <c r="AN56" s="35"/>
      <c r="AO56" s="28"/>
      <c r="AP56" s="28"/>
      <c r="AQ56" s="40"/>
      <c r="AR56" s="41"/>
    </row>
    <row r="57" spans="2:44" s="36" customFormat="1" ht="15" customHeight="1">
      <c r="B57" s="78" t="s">
        <v>44</v>
      </c>
      <c r="C57" s="79"/>
      <c r="D57" s="79"/>
      <c r="E57" s="79"/>
      <c r="F57" s="79"/>
      <c r="G57" s="53" t="s">
        <v>34</v>
      </c>
      <c r="H57" s="33" t="s">
        <v>98</v>
      </c>
      <c r="I57" s="33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45"/>
      <c r="AN57" s="46"/>
      <c r="AO57" s="12" t="s">
        <v>45</v>
      </c>
      <c r="AP57" s="47"/>
      <c r="AQ57" s="51"/>
      <c r="AR57" s="52"/>
    </row>
    <row r="58" spans="2:44" s="36" customFormat="1" ht="15" customHeight="1">
      <c r="B58" s="80"/>
      <c r="C58" s="81"/>
      <c r="D58" s="81"/>
      <c r="E58" s="81"/>
      <c r="F58" s="81"/>
      <c r="G58" s="54"/>
      <c r="H58" s="28"/>
      <c r="I58" s="2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2"/>
      <c r="AN58" s="46"/>
      <c r="AO58" s="47"/>
      <c r="AP58" s="47"/>
      <c r="AQ58" s="51"/>
      <c r="AR58" s="52"/>
    </row>
    <row r="59" spans="2:44" s="36" customFormat="1" ht="15" customHeight="1" thickBot="1">
      <c r="B59" s="82"/>
      <c r="C59" s="83"/>
      <c r="D59" s="83"/>
      <c r="E59" s="83"/>
      <c r="F59" s="83"/>
      <c r="G59" s="55"/>
      <c r="H59" s="56"/>
      <c r="I59" s="57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9"/>
      <c r="AN59" s="46"/>
      <c r="AO59" s="47"/>
      <c r="AP59" s="47"/>
      <c r="AQ59" s="51"/>
      <c r="AR59" s="52"/>
    </row>
    <row r="60" spans="2:44" s="3" customFormat="1" ht="5" customHeight="1">
      <c r="D60" s="60"/>
      <c r="E60" s="60"/>
      <c r="F60" s="60"/>
      <c r="G60" s="60"/>
      <c r="H60" s="60"/>
      <c r="AO60" s="4"/>
      <c r="AP60" s="4"/>
      <c r="AQ60" s="51"/>
      <c r="AR60" s="52"/>
    </row>
    <row r="61" spans="2:44" s="3" customFormat="1" ht="18" customHeight="1">
      <c r="AO61" s="4"/>
      <c r="AP61" s="4"/>
      <c r="AQ61" s="51"/>
      <c r="AR61" s="52"/>
    </row>
    <row r="63" spans="2:44" ht="18" customHeight="1">
      <c r="AQ63" s="51"/>
      <c r="AR63" s="52"/>
    </row>
    <row r="64" spans="2:44" ht="18" customHeight="1">
      <c r="AQ64" s="51"/>
      <c r="AR64" s="52"/>
    </row>
    <row r="65" spans="43:44" ht="18" customHeight="1">
      <c r="AQ65" s="51"/>
      <c r="AR65" s="52"/>
    </row>
    <row r="66" spans="43:44" ht="18" customHeight="1">
      <c r="AQ66" s="51"/>
      <c r="AR66" s="52"/>
    </row>
    <row r="67" spans="43:44" ht="18" customHeight="1">
      <c r="AQ67" s="51"/>
      <c r="AR67" s="52"/>
    </row>
    <row r="68" spans="43:44" ht="18" customHeight="1">
      <c r="AQ68" s="51"/>
      <c r="AR68" s="52"/>
    </row>
    <row r="69" spans="43:44" ht="18" customHeight="1">
      <c r="AQ69" s="51"/>
      <c r="AR69" s="52"/>
    </row>
    <row r="70" spans="43:44" ht="18" customHeight="1">
      <c r="AQ70" s="51"/>
      <c r="AR70" s="52"/>
    </row>
    <row r="71" spans="43:44" ht="18" customHeight="1">
      <c r="AQ71" s="51"/>
      <c r="AR71" s="52"/>
    </row>
    <row r="72" spans="43:44" ht="18" customHeight="1">
      <c r="AQ72" s="51"/>
      <c r="AR72" s="52"/>
    </row>
    <row r="73" spans="43:44" ht="18" customHeight="1">
      <c r="AQ73" s="51"/>
      <c r="AR73" s="52"/>
    </row>
    <row r="74" spans="43:44" ht="18" customHeight="1">
      <c r="AQ74" s="51"/>
      <c r="AR74" s="52"/>
    </row>
    <row r="75" spans="43:44" ht="18" customHeight="1">
      <c r="AQ75" s="51"/>
      <c r="AR75" s="52"/>
    </row>
    <row r="76" spans="43:44" ht="18" customHeight="1">
      <c r="AQ76" s="51"/>
      <c r="AR76" s="52"/>
    </row>
    <row r="77" spans="43:44" ht="18" customHeight="1">
      <c r="AQ77" s="51"/>
      <c r="AR77" s="52"/>
    </row>
    <row r="78" spans="43:44" ht="18" customHeight="1">
      <c r="AQ78" s="51"/>
      <c r="AR78" s="52"/>
    </row>
    <row r="80" spans="43:44" ht="18" customHeight="1">
      <c r="AQ80" s="51"/>
      <c r="AR80" s="52"/>
    </row>
    <row r="81" spans="43:44" ht="18" customHeight="1">
      <c r="AQ81" s="51"/>
      <c r="AR81" s="52"/>
    </row>
    <row r="82" spans="43:44" ht="18" customHeight="1">
      <c r="AQ82" s="51"/>
      <c r="AR82" s="52"/>
    </row>
    <row r="83" spans="43:44" ht="18" customHeight="1">
      <c r="AQ83" s="51"/>
      <c r="AR83" s="52"/>
    </row>
    <row r="84" spans="43:44" ht="18" customHeight="1">
      <c r="AQ84" s="51"/>
      <c r="AR84" s="52"/>
    </row>
    <row r="85" spans="43:44" ht="18" customHeight="1">
      <c r="AQ85" s="51"/>
      <c r="AR85" s="52"/>
    </row>
    <row r="86" spans="43:44" ht="18" customHeight="1">
      <c r="AQ86" s="51"/>
      <c r="AR86" s="52"/>
    </row>
    <row r="87" spans="43:44" ht="18" customHeight="1">
      <c r="AQ87" s="51"/>
      <c r="AR87" s="52"/>
    </row>
    <row r="88" spans="43:44" ht="18" customHeight="1">
      <c r="AQ88" s="51"/>
      <c r="AR88" s="52"/>
    </row>
    <row r="90" spans="43:44" ht="18" customHeight="1">
      <c r="AQ90" s="51"/>
      <c r="AR90" s="52"/>
    </row>
    <row r="91" spans="43:44" ht="18" customHeight="1">
      <c r="AQ91" s="51"/>
      <c r="AR91" s="52"/>
    </row>
    <row r="92" spans="43:44" ht="18" customHeight="1">
      <c r="AQ92" s="51"/>
      <c r="AR92" s="52"/>
    </row>
    <row r="93" spans="43:44" ht="18" customHeight="1">
      <c r="AQ93" s="51"/>
      <c r="AR93" s="52"/>
    </row>
    <row r="94" spans="43:44" ht="18" customHeight="1">
      <c r="AQ94" s="51"/>
      <c r="AR94" s="52"/>
    </row>
    <row r="95" spans="43:44" ht="18" customHeight="1">
      <c r="AQ95" s="51"/>
      <c r="AR95" s="52"/>
    </row>
    <row r="96" spans="43:44" ht="18" customHeight="1">
      <c r="AQ96" s="51"/>
      <c r="AR96" s="52"/>
    </row>
    <row r="97" spans="43:44" ht="18" customHeight="1">
      <c r="AQ97" s="51"/>
      <c r="AR97" s="52"/>
    </row>
    <row r="98" spans="43:44" ht="18" customHeight="1">
      <c r="AQ98" s="51"/>
      <c r="AR98" s="52"/>
    </row>
    <row r="99" spans="43:44" ht="18" customHeight="1">
      <c r="AQ99" s="51"/>
      <c r="AR99" s="52"/>
    </row>
    <row r="100" spans="43:44" ht="18" customHeight="1">
      <c r="AQ100" s="51"/>
      <c r="AR100" s="52"/>
    </row>
    <row r="101" spans="43:44" ht="18" customHeight="1">
      <c r="AQ101" s="51"/>
      <c r="AR101" s="52"/>
    </row>
    <row r="102" spans="43:44" ht="18" customHeight="1">
      <c r="AQ102" s="51"/>
      <c r="AR102" s="52"/>
    </row>
    <row r="103" spans="43:44" ht="18" customHeight="1">
      <c r="AQ103" s="51"/>
      <c r="AR103" s="52"/>
    </row>
    <row r="104" spans="43:44" ht="18" customHeight="1">
      <c r="AQ104" s="51"/>
      <c r="AR104" s="52"/>
    </row>
    <row r="105" spans="43:44" ht="18" customHeight="1">
      <c r="AQ105" s="51"/>
      <c r="AR105" s="52"/>
    </row>
    <row r="106" spans="43:44" ht="18" customHeight="1">
      <c r="AQ106" s="51"/>
      <c r="AR106" s="52"/>
    </row>
    <row r="107" spans="43:44" ht="18" customHeight="1">
      <c r="AQ107" s="51"/>
      <c r="AR107" s="52"/>
    </row>
    <row r="108" spans="43:44" ht="18" customHeight="1">
      <c r="AQ108" s="51"/>
      <c r="AR108" s="52"/>
    </row>
    <row r="109" spans="43:44" ht="18" customHeight="1">
      <c r="AQ109" s="51"/>
      <c r="AR109" s="52"/>
    </row>
    <row r="111" spans="43:44" ht="18" customHeight="1">
      <c r="AQ111" s="51"/>
      <c r="AR111" s="52"/>
    </row>
    <row r="112" spans="43:44" ht="18" customHeight="1">
      <c r="AQ112" s="51"/>
      <c r="AR112" s="52"/>
    </row>
    <row r="113" spans="43:44" ht="18" customHeight="1">
      <c r="AQ113" s="51"/>
      <c r="AR113" s="52"/>
    </row>
    <row r="114" spans="43:44" ht="18" customHeight="1">
      <c r="AQ114" s="51"/>
      <c r="AR114" s="52"/>
    </row>
  </sheetData>
  <sheetProtection formatCells="0" insertHyperlinks="0" selectLockedCells="1"/>
  <dataConsolidate/>
  <mergeCells count="44">
    <mergeCell ref="B1:AM1"/>
    <mergeCell ref="X2:AE2"/>
    <mergeCell ref="B4:C6"/>
    <mergeCell ref="D4:Y6"/>
    <mergeCell ref="AG4:AM4"/>
    <mergeCell ref="AG5:AM5"/>
    <mergeCell ref="AG6:AM6"/>
    <mergeCell ref="AA6:AF6"/>
    <mergeCell ref="AA5:AF5"/>
    <mergeCell ref="D2:T2"/>
    <mergeCell ref="AG8:AM8"/>
    <mergeCell ref="T7:W8"/>
    <mergeCell ref="X7:Y8"/>
    <mergeCell ref="AG7:AM7"/>
    <mergeCell ref="AA7:AF8"/>
    <mergeCell ref="AG10:AL10"/>
    <mergeCell ref="B11:C11"/>
    <mergeCell ref="B16:F18"/>
    <mergeCell ref="B13:F15"/>
    <mergeCell ref="B9:C10"/>
    <mergeCell ref="D9:H9"/>
    <mergeCell ref="D10:H10"/>
    <mergeCell ref="P9:T9"/>
    <mergeCell ref="Z9:Z11"/>
    <mergeCell ref="AA11:AF11"/>
    <mergeCell ref="AG11:AL11"/>
    <mergeCell ref="I9:O9"/>
    <mergeCell ref="U9:Y9"/>
    <mergeCell ref="I10:Y10"/>
    <mergeCell ref="AA9:AF9"/>
    <mergeCell ref="AG9:AL9"/>
    <mergeCell ref="B7:C8"/>
    <mergeCell ref="D7:H8"/>
    <mergeCell ref="B23:B56"/>
    <mergeCell ref="B57:F59"/>
    <mergeCell ref="AA10:AF10"/>
    <mergeCell ref="B19:F22"/>
    <mergeCell ref="M7:N7"/>
    <mergeCell ref="O7:S7"/>
    <mergeCell ref="M8:N8"/>
    <mergeCell ref="I7:L8"/>
    <mergeCell ref="O8:R8"/>
    <mergeCell ref="Z4:Z8"/>
    <mergeCell ref="AA4:AF4"/>
  </mergeCells>
  <phoneticPr fontId="1"/>
  <conditionalFormatting sqref="O8:R8">
    <cfRule type="expression" dxfId="1" priority="2">
      <formula>$AU$8&gt;1</formula>
    </cfRule>
  </conditionalFormatting>
  <conditionalFormatting sqref="AG9:AL10">
    <cfRule type="expression" dxfId="0" priority="1">
      <formula>$AU$2&gt;1</formula>
    </cfRule>
  </conditionalFormatting>
  <dataValidations count="4">
    <dataValidation type="list" allowBlank="1" showInputMessage="1" showErrorMessage="1" sqref="X2:AE2" xr:uid="{00000000-0002-0000-0000-000000000000}">
      <formula1>案件種別リスト</formula1>
    </dataValidation>
    <dataValidation type="list" allowBlank="1" showInputMessage="1" showErrorMessage="1" sqref="I9:O9" xr:uid="{00000000-0002-0000-0000-000001000000}">
      <formula1>開示対象リスト</formula1>
    </dataValidation>
    <dataValidation type="list" allowBlank="1" showInputMessage="1" showErrorMessage="1" sqref="U9:Y9" xr:uid="{00000000-0002-0000-0000-000002000000}">
      <formula1>資料リスト</formula1>
    </dataValidation>
    <dataValidation type="list" allowBlank="1" showInputMessage="1" showErrorMessage="1" sqref="D2" xr:uid="{00000000-0002-0000-0000-000003000000}">
      <formula1>会議体リスト</formula1>
    </dataValidation>
  </dataValidations>
  <printOptions horizontalCentered="1"/>
  <pageMargins left="3.937007874015748E-2" right="3.937007874015748E-2" top="0.55118110236220474" bottom="0.11811023622047245" header="0.27559055118110237" footer="7.874015748031496E-2"/>
  <pageSetup paperSize="9" scale="99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4000000}">
          <x14:formula1>
            <xm:f>プルダウンリスト!$E$2:$E$3</xm:f>
          </x14:formula1>
          <xm:sqref>O7:S7</xm:sqref>
        </x14:dataValidation>
        <x14:dataValidation type="list" allowBlank="1" showInputMessage="1" showErrorMessage="1" xr:uid="{00000000-0002-0000-0000-000005000000}">
          <x14:formula1>
            <xm:f>プルダウンリスト!$F$2:$F$3</xm:f>
          </x14:formula1>
          <xm:sqref>X7:Y8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499984740745262"/>
  </sheetPr>
  <dimension ref="A1:G11"/>
  <sheetViews>
    <sheetView zoomScale="90" zoomScaleNormal="90" workbookViewId="0"/>
  </sheetViews>
  <sheetFormatPr baseColWidth="10" defaultColWidth="8.83203125" defaultRowHeight="14"/>
  <cols>
    <col min="1" max="1" width="33.1640625" customWidth="1"/>
    <col min="2" max="2" width="24.5" customWidth="1"/>
    <col min="3" max="4" width="26.1640625" customWidth="1"/>
    <col min="5" max="8" width="24.5" customWidth="1"/>
    <col min="9" max="9" width="27.5" bestFit="1" customWidth="1"/>
    <col min="10" max="10" width="14.83203125" customWidth="1"/>
  </cols>
  <sheetData>
    <row r="1" spans="1:7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65" t="s">
        <v>52</v>
      </c>
    </row>
    <row r="2" spans="1:7">
      <c r="A2" s="64" t="s">
        <v>53</v>
      </c>
      <c r="B2" s="1" t="s">
        <v>54</v>
      </c>
      <c r="C2" s="1" t="s">
        <v>21</v>
      </c>
      <c r="D2" s="1" t="s">
        <v>23</v>
      </c>
      <c r="E2" s="1" t="s">
        <v>55</v>
      </c>
      <c r="F2" s="1" t="s">
        <v>56</v>
      </c>
      <c r="G2" s="66" t="s">
        <v>57</v>
      </c>
    </row>
    <row r="3" spans="1:7">
      <c r="A3" s="64" t="s">
        <v>58</v>
      </c>
      <c r="B3" s="1" t="s">
        <v>59</v>
      </c>
      <c r="C3" s="1" t="s">
        <v>60</v>
      </c>
      <c r="D3" s="1" t="s">
        <v>61</v>
      </c>
      <c r="E3" s="1" t="s">
        <v>12</v>
      </c>
      <c r="F3" s="1" t="s">
        <v>14</v>
      </c>
    </row>
    <row r="4" spans="1:7">
      <c r="A4" s="64" t="s">
        <v>62</v>
      </c>
      <c r="B4" s="1" t="s">
        <v>2</v>
      </c>
      <c r="C4" s="1" t="s">
        <v>63</v>
      </c>
      <c r="D4" s="1" t="s">
        <v>64</v>
      </c>
    </row>
    <row r="5" spans="1:7">
      <c r="A5" s="64" t="s">
        <v>65</v>
      </c>
      <c r="B5" s="1" t="s">
        <v>66</v>
      </c>
      <c r="C5" s="1" t="s">
        <v>67</v>
      </c>
      <c r="D5" s="1"/>
    </row>
    <row r="6" spans="1:7">
      <c r="A6" s="64" t="s">
        <v>68</v>
      </c>
      <c r="B6" s="1" t="s">
        <v>69</v>
      </c>
      <c r="C6" s="1" t="s">
        <v>70</v>
      </c>
    </row>
    <row r="7" spans="1:7">
      <c r="A7" s="64" t="s">
        <v>71</v>
      </c>
      <c r="C7" s="1" t="s">
        <v>72</v>
      </c>
      <c r="D7" s="1"/>
    </row>
    <row r="8" spans="1:7">
      <c r="A8" s="64" t="s">
        <v>73</v>
      </c>
      <c r="C8" s="1" t="s">
        <v>74</v>
      </c>
      <c r="D8" s="1"/>
    </row>
    <row r="9" spans="1:7">
      <c r="A9" s="64" t="s">
        <v>75</v>
      </c>
    </row>
    <row r="10" spans="1:7">
      <c r="A10" s="64" t="s">
        <v>76</v>
      </c>
    </row>
    <row r="11" spans="1:7">
      <c r="A11" s="64"/>
    </row>
  </sheetData>
  <phoneticPr fontId="2"/>
  <pageMargins left="0.75" right="0.75" top="1" bottom="1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abeafee-e1db-4c69-9113-34533efad6d2">
      <UserInfo>
        <DisplayName>高田 友紀</DisplayName>
        <AccountId>101</AccountId>
        <AccountType/>
      </UserInfo>
      <UserInfo>
        <DisplayName>上田 菜月</DisplayName>
        <AccountId>27</AccountId>
        <AccountType/>
      </UserInfo>
      <UserInfo>
        <DisplayName>野口 亜季</DisplayName>
        <AccountId>28</AccountId>
        <AccountType/>
      </UserInfo>
      <UserInfo>
        <DisplayName>金 ミンジョン</DisplayName>
        <AccountId>66</AccountId>
        <AccountType/>
      </UserInfo>
      <UserInfo>
        <DisplayName>地引 陽子</DisplayName>
        <AccountId>123</AccountId>
        <AccountType/>
      </UserInfo>
      <UserInfo>
        <DisplayName>小島 美佳</DisplayName>
        <AccountId>124</AccountId>
        <AccountType/>
      </UserInfo>
      <UserInfo>
        <DisplayName>藤田 祐美子</DisplayName>
        <AccountId>125</AccountId>
        <AccountType/>
      </UserInfo>
      <UserInfo>
        <DisplayName>小川 康秀</DisplayName>
        <AccountId>126</AccountId>
        <AccountType/>
      </UserInfo>
      <UserInfo>
        <DisplayName>木村 徳沙</DisplayName>
        <AccountId>127</AccountId>
        <AccountType/>
      </UserInfo>
      <UserInfo>
        <DisplayName>冨田 一清</DisplayName>
        <AccountId>128</AccountId>
        <AccountType/>
      </UserInfo>
      <UserInfo>
        <DisplayName>伊賀崎 幹</DisplayName>
        <AccountId>167</AccountId>
        <AccountType/>
      </UserInfo>
      <UserInfo>
        <DisplayName>岡野 葵</DisplayName>
        <AccountId>171</AccountId>
        <AccountType/>
      </UserInfo>
      <UserInfo>
        <DisplayName>鈴木 遼</DisplayName>
        <AccountId>172</AccountId>
        <AccountType/>
      </UserInfo>
      <UserInfo>
        <DisplayName>奥村 泰生</DisplayName>
        <AccountId>175</AccountId>
        <AccountType/>
      </UserInfo>
      <UserInfo>
        <DisplayName>浅川 真理</DisplayName>
        <AccountId>166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F5BD780FD2A44BBCF97DBAC71E1565" ma:contentTypeVersion="10" ma:contentTypeDescription="新しいドキュメントを作成します。" ma:contentTypeScope="" ma:versionID="e57e089e59a24b2376277a73083048b1">
  <xsd:schema xmlns:xsd="http://www.w3.org/2001/XMLSchema" xmlns:xs="http://www.w3.org/2001/XMLSchema" xmlns:p="http://schemas.microsoft.com/office/2006/metadata/properties" xmlns:ns2="632140c1-ebbb-4efd-83fa-7a660f682b53" xmlns:ns3="aabeafee-e1db-4c69-9113-34533efad6d2" targetNamespace="http://schemas.microsoft.com/office/2006/metadata/properties" ma:root="true" ma:fieldsID="e58171f2102ba9b913df30c0459681cb" ns2:_="" ns3:_="">
    <xsd:import namespace="632140c1-ebbb-4efd-83fa-7a660f682b53"/>
    <xsd:import namespace="aabeafee-e1db-4c69-9113-34533efad6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2140c1-ebbb-4efd-83fa-7a660f682b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beafee-e1db-4c69-9113-34533efad6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239661-755E-443F-941F-974278335B51}">
  <ds:schemaRefs>
    <ds:schemaRef ds:uri="http://schemas.microsoft.com/office/2006/metadata/properties"/>
    <ds:schemaRef ds:uri="http://schemas.microsoft.com/office/infopath/2007/PartnerControls"/>
    <ds:schemaRef ds:uri="aabeafee-e1db-4c69-9113-34533efad6d2"/>
  </ds:schemaRefs>
</ds:datastoreItem>
</file>

<file path=customXml/itemProps2.xml><?xml version="1.0" encoding="utf-8"?>
<ds:datastoreItem xmlns:ds="http://schemas.openxmlformats.org/officeDocument/2006/customXml" ds:itemID="{7D6E9957-61EF-446B-9A16-1483732DB2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2140c1-ebbb-4efd-83fa-7a660f682b53"/>
    <ds:schemaRef ds:uri="aabeafee-e1db-4c69-9113-34533efad6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324F00-E11D-46E8-B286-4EB5D6718B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5</vt:i4>
      </vt:variant>
    </vt:vector>
  </HeadingPairs>
  <TitlesOfParts>
    <vt:vector size="7" baseType="lpstr">
      <vt:lpstr>起案FMT</vt:lpstr>
      <vt:lpstr>プルダウンリスト</vt:lpstr>
      <vt:lpstr>起案FMT!Print_Area</vt:lpstr>
      <vt:lpstr>案件種別リスト</vt:lpstr>
      <vt:lpstr>会議体リスト</vt:lpstr>
      <vt:lpstr>開示対象リスト</vt:lpstr>
      <vt:lpstr>資料リスト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RECRUIT</dc:creator>
  <cp:keywords/>
  <dc:description/>
  <cp:lastModifiedBy>松田 郁代奈</cp:lastModifiedBy>
  <cp:revision/>
  <dcterms:created xsi:type="dcterms:W3CDTF">2006-06-14T08:52:14Z</dcterms:created>
  <dcterms:modified xsi:type="dcterms:W3CDTF">2025-01-14T08:22:45Z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0x01010071F5BD780FD2A44BBCF97DBAC71E1565</vt:lpwstr>
  </property>
  <property fmtid="{D5CDD505-2E9C-101B-9397-08002B2CF9AE}" pid="3" name="Order">
    <vt:r8>351800</vt:r8>
  </property>
</Properties>
</file>